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Standard Version\Rev. 0\Excel\"/>
    </mc:Choice>
  </mc:AlternateContent>
  <xr:revisionPtr revIDLastSave="0" documentId="13_ncr:1_{6C4C12CF-4A78-4649-BE3A-0BD6DD45E7FB}" xr6:coauthVersionLast="47" xr6:coauthVersionMax="47" xr10:uidLastSave="{00000000-0000-0000-0000-000000000000}"/>
  <bookViews>
    <workbookView xWindow="6156" yWindow="2736" windowWidth="19200" windowHeight="10548" xr2:uid="{00000000-000D-0000-FFFF-FFFF00000000}"/>
  </bookViews>
  <sheets>
    <sheet name="Stückliste" sheetId="1" r:id="rId1"/>
  </sheets>
  <definedNames>
    <definedName name="_xlnm.Print_Area" localSheetId="0">Stückliste!$A$1:$G$53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l="1"/>
  <c r="A10" i="1" s="1"/>
  <c r="A11" i="1" s="1"/>
  <c r="A12" i="1" s="1"/>
  <c r="A13" i="1" s="1"/>
  <c r="A14" i="1" s="1"/>
  <c r="A15" i="1" s="1"/>
  <c r="A16" i="1" l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l="1"/>
  <c r="A28" i="1" s="1"/>
  <c r="A29" i="1" s="1"/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</calcChain>
</file>

<file path=xl/sharedStrings.xml><?xml version="1.0" encoding="utf-8"?>
<sst xmlns="http://schemas.openxmlformats.org/spreadsheetml/2006/main" count="228" uniqueCount="154">
  <si>
    <t>Pos.</t>
  </si>
  <si>
    <t>Qty</t>
  </si>
  <si>
    <t>Value</t>
  </si>
  <si>
    <t>Footprint</t>
  </si>
  <si>
    <t>Ref.-No.</t>
  </si>
  <si>
    <t>Comment</t>
  </si>
  <si>
    <t>2 Layer</t>
  </si>
  <si>
    <t>PCB Rev. 0</t>
  </si>
  <si>
    <t>Bill of Material Rev. 0.0</t>
  </si>
  <si>
    <t>C64 Keyboard Rev. 0</t>
  </si>
  <si>
    <t>1X02/90</t>
  </si>
  <si>
    <t>J4</t>
  </si>
  <si>
    <t>1X03/90</t>
  </si>
  <si>
    <t>J3, J8</t>
  </si>
  <si>
    <t>1X04/90</t>
  </si>
  <si>
    <t>1X05/90</t>
  </si>
  <si>
    <t>2X10WH</t>
  </si>
  <si>
    <t>J1</t>
  </si>
  <si>
    <t>C30X16L</t>
  </si>
  <si>
    <t>C4</t>
  </si>
  <si>
    <t>100n</t>
  </si>
  <si>
    <t>10k</t>
  </si>
  <si>
    <t>27k</t>
  </si>
  <si>
    <t>R20</t>
  </si>
  <si>
    <t>330R</t>
  </si>
  <si>
    <t>R1</t>
  </si>
  <si>
    <t>R11</t>
  </si>
  <si>
    <t>33R</t>
  </si>
  <si>
    <t>R19</t>
  </si>
  <si>
    <t>33n</t>
  </si>
  <si>
    <t>470R</t>
  </si>
  <si>
    <t>R16</t>
  </si>
  <si>
    <t>47k</t>
  </si>
  <si>
    <t>RN-9</t>
  </si>
  <si>
    <t>RN1</t>
  </si>
  <si>
    <t>4k7</t>
  </si>
  <si>
    <t>R18</t>
  </si>
  <si>
    <t>BC847B</t>
  </si>
  <si>
    <t>SOT23</t>
  </si>
  <si>
    <t>LL4148</t>
  </si>
  <si>
    <t>SOD80C</t>
  </si>
  <si>
    <t>CHERRYMX</t>
  </si>
  <si>
    <t>PCF8575-MODULE</t>
  </si>
  <si>
    <t>PCF8575MODUL</t>
  </si>
  <si>
    <t>M1</t>
  </si>
  <si>
    <t>PRO_MICRO</t>
  </si>
  <si>
    <t>M2</t>
  </si>
  <si>
    <t>RMP-14P/HT</t>
  </si>
  <si>
    <t>SPK1</t>
  </si>
  <si>
    <t>SN74HC74D</t>
  </si>
  <si>
    <t>SO-14</t>
  </si>
  <si>
    <t>IC1</t>
  </si>
  <si>
    <t xml:space="preserve">Cherry MX, 5 Pin </t>
  </si>
  <si>
    <t>SW1 - SW68</t>
  </si>
  <si>
    <t>223-2-01-00</t>
  </si>
  <si>
    <t>LED (high brightness)</t>
  </si>
  <si>
    <t>LED 3mm</t>
  </si>
  <si>
    <t>(SW35)</t>
  </si>
  <si>
    <t>0805</t>
  </si>
  <si>
    <t>2 layer, Cu 35µ, HASL, 385.6mm x 96.4mm, 1.6mm FR4</t>
  </si>
  <si>
    <t>15k</t>
  </si>
  <si>
    <t>R3</t>
  </si>
  <si>
    <t>C2, C3</t>
  </si>
  <si>
    <t>C1</t>
  </si>
  <si>
    <t>box pin header, 2x10, 90°</t>
  </si>
  <si>
    <t>100R</t>
  </si>
  <si>
    <t>pin header, 2p/90°, 2.54mm</t>
  </si>
  <si>
    <t>pin header, 4p/90°, 2.54mm</t>
  </si>
  <si>
    <t>pin header, 5p/90°, 2.54mm</t>
  </si>
  <si>
    <t>KF2510 , 3p/90°, 2.54mm</t>
  </si>
  <si>
    <t>e.G. Kingbright L-7104SRC-J4 (Reichelt LED 3-4500 RT)</t>
  </si>
  <si>
    <t xml:space="preserve">Resistor SMD 0805, 5% </t>
  </si>
  <si>
    <t>Resistor SMD 0805, 5%</t>
  </si>
  <si>
    <t>Transistor, SMD (NPN universal)</t>
  </si>
  <si>
    <t>Diode, SMD</t>
  </si>
  <si>
    <t xml:space="preserve">SMD IC, e.G. TI </t>
  </si>
  <si>
    <t>KF2510 (AliExpress) or Molex KK 2.54 (3p, 90°)</t>
  </si>
  <si>
    <t>Jumper, 2.54mm</t>
  </si>
  <si>
    <t>(J4)</t>
  </si>
  <si>
    <t>C 2.2 x 6,5 H</t>
  </si>
  <si>
    <t>C 2.9 x 9,5 H</t>
  </si>
  <si>
    <t>3.2mm washer</t>
  </si>
  <si>
    <t>standard 2.54mm jumper, only requird for short boards</t>
  </si>
  <si>
    <t>standard 2x10 pin box pin header, e.g. Reichelt.de WSL 20W</t>
  </si>
  <si>
    <t>1000u/10V</t>
  </si>
  <si>
    <t>Capacitor SMD 0805,  25V, X7R, ±10% or better</t>
  </si>
  <si>
    <t>Resistor network, 8 resistors/9 pins. E.g- Reichelt SIL 9-8 47K</t>
  </si>
  <si>
    <t>Ali Express pro micro module. Read module description</t>
  </si>
  <si>
    <t>(M1)</t>
  </si>
  <si>
    <t>10 way socket for pin header 2.54mm</t>
  </si>
  <si>
    <t>5 way socket for pin header 2.54mm</t>
  </si>
  <si>
    <t>12 way socket for pin header 2.54mm</t>
  </si>
  <si>
    <t>For new 1.5U keycaps, populate the SW**A position. Read module description</t>
  </si>
  <si>
    <t>(M2)</t>
  </si>
  <si>
    <t>precision sockets, 2.54mm, 1x12, straight. E.g. Reichelt MPE 115-1-012</t>
  </si>
  <si>
    <t>Stabilizer, screw in type 7U</t>
  </si>
  <si>
    <t>Stabilizer, screw in type 2U</t>
  </si>
  <si>
    <t>precision sockets, 2.54mm, 1x10, straight. E.g. Reichelt MPE 115-1-010</t>
  </si>
  <si>
    <t>precision sockets, 2.54mm, 1x5, straight. E.g. Reichelt MPE 115-1-005</t>
  </si>
  <si>
    <t>5 way pin header, 2.54mm</t>
  </si>
  <si>
    <t>Ali Express PCF8575 module. Read module description. Configuration of solder bridges requires</t>
  </si>
  <si>
    <t>screw, self tapping, DIN 7981</t>
  </si>
  <si>
    <t xml:space="preserve">for RETURN key </t>
  </si>
  <si>
    <t>(SW66)</t>
  </si>
  <si>
    <t>(SW48)</t>
  </si>
  <si>
    <t>(for 7U space bar or 9U spacebar of C64U/Blingboard64 (CBMStuff.com). Read module description)</t>
  </si>
  <si>
    <t>1U, blank keycaps</t>
  </si>
  <si>
    <t>1.5U, blank keycaps</t>
  </si>
  <si>
    <t>7U space bar</t>
  </si>
  <si>
    <t>for MX  compatgibel switches, DSA profile. Read module description</t>
  </si>
  <si>
    <t>2U, blank keycap</t>
  </si>
  <si>
    <t>3D printed keyboard frame</t>
  </si>
  <si>
    <t>Rev. 0</t>
  </si>
  <si>
    <t>straight, e.g. Reichelt BKL 10120503</t>
  </si>
  <si>
    <t>standard 90° pin header, e.g. Reichelt W+P 946-132</t>
  </si>
  <si>
    <t>J2</t>
  </si>
  <si>
    <t>standard 90° pin header, e.g. Reichelt W+P 946-144</t>
  </si>
  <si>
    <t>J6</t>
  </si>
  <si>
    <t>standard 90° pin header, e.g. Reichelt BKL 10120522</t>
  </si>
  <si>
    <r>
      <t xml:space="preserve">electrolytic capacitor, axial leads, maximum length 30mm, maximum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 xml:space="preserve"> 16mm. E.g. Reichelt  AX 105 1000/10</t>
    </r>
  </si>
  <si>
    <r>
      <t xml:space="preserve">piezzo buzzer,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>14mm, pin distance 7.6mm,  EKULIT (Reichelt SUMMER EPM 121)</t>
    </r>
  </si>
  <si>
    <t xml:space="preserve">ribbon cable  + connector PCB </t>
  </si>
  <si>
    <t>Project No. 224</t>
  </si>
  <si>
    <t>kernal switcher cable</t>
  </si>
  <si>
    <t>Drawing 223-3-001-00. Read module description</t>
  </si>
  <si>
    <t>optional WS2812B RGB LED strip</t>
  </si>
  <si>
    <t>Read module description</t>
  </si>
  <si>
    <t>optional OLED display</t>
  </si>
  <si>
    <t>Group</t>
  </si>
  <si>
    <t>KSW</t>
  </si>
  <si>
    <t>J7</t>
  </si>
  <si>
    <t>J5</t>
  </si>
  <si>
    <t>Power LED</t>
  </si>
  <si>
    <t>RGB</t>
  </si>
  <si>
    <t>DO NOT Populate</t>
  </si>
  <si>
    <t>I²C</t>
  </si>
  <si>
    <t>SL</t>
  </si>
  <si>
    <t>SPK</t>
  </si>
  <si>
    <t>Q5</t>
  </si>
  <si>
    <t>Q1, Q2, Q3</t>
  </si>
  <si>
    <t>USBKB</t>
  </si>
  <si>
    <t>D1</t>
  </si>
  <si>
    <t>D2</t>
  </si>
  <si>
    <t>CTRL</t>
  </si>
  <si>
    <t>R2, R4, R5, R6, R7,</t>
  </si>
  <si>
    <t>R8, R9, R10, R12, R13, R14, R15</t>
  </si>
  <si>
    <t>Grp.</t>
  </si>
  <si>
    <t>Shift Lock Circuit</t>
  </si>
  <si>
    <t>RGB LED strip</t>
  </si>
  <si>
    <t>Piezo Buzzer</t>
  </si>
  <si>
    <t>Kernal Switcher</t>
  </si>
  <si>
    <t>USB Keyboard</t>
  </si>
  <si>
    <t>I²C (OLED) Display</t>
  </si>
  <si>
    <t>Controller/pro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</si>
</sst>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sz val="8"/>
      <name val="Calibri"/>
      <family val="2"/>
      <scheme val="minor"/>
    </font>
    <font>
      <sz val="11"/>
      <color theme="1"/>
      <name val="Symbol"/>
      <family val="1"/>
      <charset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4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1" fillId="33" borderId="10" xfId="0" applyFont="1" applyFill="1" applyBorder="1" applyAlignment="1">
      <alignment vertical="top" wrapText="1"/>
    </xf>
    <xf numFmtId="0" fontId="1" fillId="33" borderId="11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9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G53" totalsRowShown="0" headerRowDxfId="8" dataDxfId="7">
  <autoFilter ref="A3:G53" xr:uid="{00000000-0009-0000-0100-000001000000}"/>
  <sortState xmlns:xlrd2="http://schemas.microsoft.com/office/spreadsheetml/2017/richdata2" ref="A4:F30">
    <sortCondition ref="E3:E30"/>
  </sortState>
  <tableColumns count="7">
    <tableColumn id="1" xr3:uid="{00000000-0010-0000-0000-000001000000}" name="Pos." dataDxfId="6">
      <calculatedColumnFormula>A3+1</calculatedColumnFormula>
    </tableColumn>
    <tableColumn id="2" xr3:uid="{00000000-0010-0000-0000-000002000000}" name="Qty" dataDxfId="5"/>
    <tableColumn id="3" xr3:uid="{00000000-0010-0000-0000-000003000000}" name="Value" dataDxfId="4"/>
    <tableColumn id="4" xr3:uid="{00000000-0010-0000-0000-000004000000}" name="Footprint" dataDxfId="3"/>
    <tableColumn id="5" xr3:uid="{00000000-0010-0000-0000-000005000000}" name="Ref.-No." dataDxfId="2"/>
    <tableColumn id="6" xr3:uid="{00000000-0010-0000-0000-000006000000}" name="Comment" dataDxfId="1"/>
    <tableColumn id="7" xr3:uid="{B7153AAD-405A-434F-A224-4D37B3389837}" name="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view="pageLayout" topLeftCell="A7" zoomScaleNormal="100" workbookViewId="0">
      <selection activeCell="D56" sqref="D56"/>
    </sheetView>
  </sheetViews>
  <sheetFormatPr baseColWidth="10" defaultRowHeight="14.4" x14ac:dyDescent="0.3"/>
  <cols>
    <col min="1" max="2" width="5.77734375" customWidth="1"/>
    <col min="3" max="3" width="24.44140625" customWidth="1"/>
    <col min="4" max="4" width="15.77734375" style="1" customWidth="1"/>
    <col min="5" max="5" width="24" style="2" customWidth="1"/>
    <col min="6" max="6" width="39.77734375" customWidth="1"/>
  </cols>
  <sheetData>
    <row r="1" spans="1:7" ht="20.399999999999999" customHeight="1" x14ac:dyDescent="0.35">
      <c r="A1" s="18" t="s">
        <v>9</v>
      </c>
      <c r="B1" s="18"/>
      <c r="C1" s="18"/>
      <c r="D1" s="18"/>
      <c r="E1" s="18"/>
      <c r="F1" s="18"/>
      <c r="G1" s="18"/>
    </row>
    <row r="2" spans="1:7" ht="20.399999999999999" x14ac:dyDescent="0.35">
      <c r="A2" s="19" t="s">
        <v>8</v>
      </c>
      <c r="B2" s="19"/>
      <c r="C2" s="19"/>
      <c r="D2" s="19"/>
      <c r="E2" s="19"/>
      <c r="F2" s="19"/>
      <c r="G2" s="19"/>
    </row>
    <row r="3" spans="1:7" s="5" customFormat="1" x14ac:dyDescent="0.3">
      <c r="A3" s="3" t="s">
        <v>0</v>
      </c>
      <c r="B3" s="7" t="s">
        <v>1</v>
      </c>
      <c r="C3" s="8" t="s">
        <v>2</v>
      </c>
      <c r="D3" s="9" t="s">
        <v>3</v>
      </c>
      <c r="E3" s="8" t="s">
        <v>4</v>
      </c>
      <c r="F3" s="8" t="s">
        <v>5</v>
      </c>
      <c r="G3" s="20" t="s">
        <v>128</v>
      </c>
    </row>
    <row r="4" spans="1:7" s="5" customFormat="1" ht="27.6" x14ac:dyDescent="0.3">
      <c r="A4" s="3">
        <v>1</v>
      </c>
      <c r="B4" s="3">
        <v>1</v>
      </c>
      <c r="C4" s="10" t="s">
        <v>54</v>
      </c>
      <c r="D4" s="9" t="s">
        <v>6</v>
      </c>
      <c r="E4" s="20" t="s">
        <v>7</v>
      </c>
      <c r="F4" s="10" t="s">
        <v>59</v>
      </c>
      <c r="G4" s="20"/>
    </row>
    <row r="5" spans="1:7" s="5" customFormat="1" ht="27.6" x14ac:dyDescent="0.3">
      <c r="A5" s="3">
        <f>A4+1</f>
        <v>2</v>
      </c>
      <c r="B5" s="3">
        <v>1</v>
      </c>
      <c r="C5" s="12" t="s">
        <v>66</v>
      </c>
      <c r="D5" s="9" t="s">
        <v>10</v>
      </c>
      <c r="E5" s="8" t="s">
        <v>11</v>
      </c>
      <c r="F5" s="14" t="s">
        <v>114</v>
      </c>
      <c r="G5" s="20" t="s">
        <v>129</v>
      </c>
    </row>
    <row r="6" spans="1:7" s="5" customFormat="1" ht="27.6" x14ac:dyDescent="0.3">
      <c r="A6" s="3">
        <f>A5+1</f>
        <v>3</v>
      </c>
      <c r="B6" s="12">
        <v>1</v>
      </c>
      <c r="C6" s="12" t="s">
        <v>77</v>
      </c>
      <c r="D6" s="13"/>
      <c r="E6" s="12" t="s">
        <v>78</v>
      </c>
      <c r="F6" s="14" t="s">
        <v>82</v>
      </c>
      <c r="G6" s="20" t="s">
        <v>129</v>
      </c>
    </row>
    <row r="7" spans="1:7" s="5" customFormat="1" ht="27.6" x14ac:dyDescent="0.3">
      <c r="A7" s="3">
        <f>A6+1</f>
        <v>4</v>
      </c>
      <c r="B7" s="3">
        <v>2</v>
      </c>
      <c r="C7" s="12" t="s">
        <v>69</v>
      </c>
      <c r="D7" s="9" t="s">
        <v>12</v>
      </c>
      <c r="E7" s="8" t="s">
        <v>13</v>
      </c>
      <c r="F7" s="12" t="s">
        <v>76</v>
      </c>
      <c r="G7" s="20" t="s">
        <v>132</v>
      </c>
    </row>
    <row r="8" spans="1:7" s="5" customFormat="1" ht="27.6" x14ac:dyDescent="0.3">
      <c r="A8" s="3">
        <f>A7+1</f>
        <v>5</v>
      </c>
      <c r="B8" s="3">
        <v>1</v>
      </c>
      <c r="C8" s="12" t="s">
        <v>67</v>
      </c>
      <c r="D8" s="9" t="s">
        <v>14</v>
      </c>
      <c r="E8" s="20" t="s">
        <v>131</v>
      </c>
      <c r="F8" s="14" t="s">
        <v>116</v>
      </c>
      <c r="G8" s="20" t="s">
        <v>133</v>
      </c>
    </row>
    <row r="9" spans="1:7" s="5" customFormat="1" ht="27.6" x14ac:dyDescent="0.3">
      <c r="A9" s="20">
        <f>A8+1</f>
        <v>6</v>
      </c>
      <c r="B9" s="20"/>
      <c r="C9" s="12" t="s">
        <v>67</v>
      </c>
      <c r="D9" s="9" t="s">
        <v>14</v>
      </c>
      <c r="E9" s="20" t="s">
        <v>130</v>
      </c>
      <c r="F9" s="14" t="s">
        <v>116</v>
      </c>
      <c r="G9" s="20" t="s">
        <v>135</v>
      </c>
    </row>
    <row r="10" spans="1:7" s="5" customFormat="1" ht="27.6" x14ac:dyDescent="0.3">
      <c r="A10" s="20">
        <f>A9+1</f>
        <v>7</v>
      </c>
      <c r="B10" s="3">
        <v>1</v>
      </c>
      <c r="C10" s="12" t="s">
        <v>68</v>
      </c>
      <c r="D10" s="9" t="s">
        <v>15</v>
      </c>
      <c r="E10" s="14" t="s">
        <v>115</v>
      </c>
      <c r="F10" s="14" t="s">
        <v>118</v>
      </c>
      <c r="G10" s="20" t="s">
        <v>129</v>
      </c>
    </row>
    <row r="11" spans="1:7" s="5" customFormat="1" ht="27.6" x14ac:dyDescent="0.3">
      <c r="A11" s="3">
        <f>A10+1</f>
        <v>8</v>
      </c>
      <c r="B11" s="14">
        <v>1</v>
      </c>
      <c r="C11" s="12" t="s">
        <v>68</v>
      </c>
      <c r="D11" s="9" t="s">
        <v>15</v>
      </c>
      <c r="E11" s="14" t="s">
        <v>117</v>
      </c>
      <c r="F11" s="20" t="s">
        <v>134</v>
      </c>
      <c r="G11" s="20"/>
    </row>
    <row r="12" spans="1:7" s="5" customFormat="1" ht="27.6" x14ac:dyDescent="0.3">
      <c r="A12" s="3">
        <f>A11+1</f>
        <v>9</v>
      </c>
      <c r="B12" s="3">
        <v>1</v>
      </c>
      <c r="C12" s="10" t="s">
        <v>64</v>
      </c>
      <c r="D12" s="9" t="s">
        <v>16</v>
      </c>
      <c r="E12" s="8" t="s">
        <v>17</v>
      </c>
      <c r="F12" s="14" t="s">
        <v>83</v>
      </c>
      <c r="G12" s="20"/>
    </row>
    <row r="13" spans="1:7" s="5" customFormat="1" ht="41.4" x14ac:dyDescent="0.3">
      <c r="A13" s="3">
        <f>A12+1</f>
        <v>10</v>
      </c>
      <c r="B13" s="3">
        <v>1</v>
      </c>
      <c r="C13" s="14" t="s">
        <v>84</v>
      </c>
      <c r="D13" s="9" t="s">
        <v>18</v>
      </c>
      <c r="E13" s="14" t="s">
        <v>19</v>
      </c>
      <c r="F13" s="14" t="s">
        <v>119</v>
      </c>
      <c r="G13" s="20" t="s">
        <v>133</v>
      </c>
    </row>
    <row r="14" spans="1:7" s="5" customFormat="1" ht="27.6" x14ac:dyDescent="0.3">
      <c r="A14" s="3">
        <f>A13+1</f>
        <v>11</v>
      </c>
      <c r="B14" s="3">
        <v>2</v>
      </c>
      <c r="C14" s="3" t="s">
        <v>20</v>
      </c>
      <c r="D14" s="11" t="s">
        <v>58</v>
      </c>
      <c r="E14" s="10" t="s">
        <v>62</v>
      </c>
      <c r="F14" s="14" t="s">
        <v>85</v>
      </c>
      <c r="G14" s="20" t="s">
        <v>136</v>
      </c>
    </row>
    <row r="15" spans="1:7" s="5" customFormat="1" x14ac:dyDescent="0.3">
      <c r="A15" s="3">
        <f>A14+1</f>
        <v>12</v>
      </c>
      <c r="B15" s="3">
        <v>5</v>
      </c>
      <c r="C15" s="3" t="s">
        <v>21</v>
      </c>
      <c r="D15" s="11" t="s">
        <v>58</v>
      </c>
      <c r="E15" s="20" t="s">
        <v>144</v>
      </c>
      <c r="F15" s="12" t="s">
        <v>71</v>
      </c>
      <c r="G15" s="20" t="s">
        <v>136</v>
      </c>
    </row>
    <row r="16" spans="1:7" s="5" customFormat="1" ht="27.6" x14ac:dyDescent="0.3">
      <c r="A16" s="20">
        <f>A15+1</f>
        <v>13</v>
      </c>
      <c r="B16" s="20">
        <v>7</v>
      </c>
      <c r="C16" s="3" t="s">
        <v>21</v>
      </c>
      <c r="D16" s="11" t="s">
        <v>58</v>
      </c>
      <c r="E16" s="20" t="s">
        <v>145</v>
      </c>
      <c r="F16" s="12" t="s">
        <v>71</v>
      </c>
      <c r="G16" s="20" t="s">
        <v>143</v>
      </c>
    </row>
    <row r="17" spans="1:7" s="5" customFormat="1" x14ac:dyDescent="0.3">
      <c r="A17" s="20">
        <f>A16+1</f>
        <v>14</v>
      </c>
      <c r="B17" s="10">
        <v>1</v>
      </c>
      <c r="C17" s="10" t="s">
        <v>60</v>
      </c>
      <c r="D17" s="11" t="s">
        <v>58</v>
      </c>
      <c r="E17" s="10" t="s">
        <v>61</v>
      </c>
      <c r="F17" s="12" t="s">
        <v>71</v>
      </c>
      <c r="G17" s="20" t="s">
        <v>136</v>
      </c>
    </row>
    <row r="18" spans="1:7" s="5" customFormat="1" x14ac:dyDescent="0.3">
      <c r="A18" s="3">
        <f>A17+1</f>
        <v>15</v>
      </c>
      <c r="B18" s="3">
        <v>1</v>
      </c>
      <c r="C18" s="3" t="s">
        <v>22</v>
      </c>
      <c r="D18" s="11" t="s">
        <v>58</v>
      </c>
      <c r="E18" s="8" t="s">
        <v>23</v>
      </c>
      <c r="F18" s="8" t="s">
        <v>72</v>
      </c>
      <c r="G18" s="20" t="s">
        <v>137</v>
      </c>
    </row>
    <row r="19" spans="1:7" s="5" customFormat="1" x14ac:dyDescent="0.3">
      <c r="A19" s="3">
        <f>A18+1</f>
        <v>16</v>
      </c>
      <c r="B19" s="3">
        <v>1</v>
      </c>
      <c r="C19" s="12" t="s">
        <v>65</v>
      </c>
      <c r="D19" s="11" t="s">
        <v>58</v>
      </c>
      <c r="E19" s="8" t="s">
        <v>25</v>
      </c>
      <c r="F19" s="8" t="s">
        <v>72</v>
      </c>
      <c r="G19" s="20" t="s">
        <v>136</v>
      </c>
    </row>
    <row r="20" spans="1:7" s="5" customFormat="1" x14ac:dyDescent="0.3">
      <c r="A20" s="3">
        <f>A19+1</f>
        <v>17</v>
      </c>
      <c r="B20" s="3">
        <v>1</v>
      </c>
      <c r="C20" s="3" t="s">
        <v>24</v>
      </c>
      <c r="D20" s="11" t="s">
        <v>58</v>
      </c>
      <c r="E20" s="8" t="s">
        <v>26</v>
      </c>
      <c r="F20" s="8" t="s">
        <v>72</v>
      </c>
      <c r="G20" s="20" t="s">
        <v>132</v>
      </c>
    </row>
    <row r="21" spans="1:7" s="5" customFormat="1" x14ac:dyDescent="0.3">
      <c r="A21" s="3">
        <f>A20+1</f>
        <v>18</v>
      </c>
      <c r="B21" s="3">
        <v>1</v>
      </c>
      <c r="C21" s="3" t="s">
        <v>27</v>
      </c>
      <c r="D21" s="11" t="s">
        <v>58</v>
      </c>
      <c r="E21" s="8" t="s">
        <v>28</v>
      </c>
      <c r="F21" s="8" t="s">
        <v>72</v>
      </c>
      <c r="G21" s="20" t="s">
        <v>137</v>
      </c>
    </row>
    <row r="22" spans="1:7" s="5" customFormat="1" ht="27.6" x14ac:dyDescent="0.3">
      <c r="A22" s="3">
        <f>A21+1</f>
        <v>19</v>
      </c>
      <c r="B22" s="3">
        <v>1</v>
      </c>
      <c r="C22" s="3" t="s">
        <v>29</v>
      </c>
      <c r="D22" s="11" t="s">
        <v>58</v>
      </c>
      <c r="E22" s="10" t="s">
        <v>63</v>
      </c>
      <c r="F22" s="8" t="s">
        <v>85</v>
      </c>
      <c r="G22" s="20" t="s">
        <v>136</v>
      </c>
    </row>
    <row r="23" spans="1:7" s="5" customFormat="1" x14ac:dyDescent="0.3">
      <c r="A23" s="3">
        <f>A22+1</f>
        <v>20</v>
      </c>
      <c r="B23" s="3">
        <v>1</v>
      </c>
      <c r="C23" s="3" t="s">
        <v>30</v>
      </c>
      <c r="D23" s="11" t="s">
        <v>58</v>
      </c>
      <c r="E23" s="8" t="s">
        <v>31</v>
      </c>
      <c r="F23" s="8" t="s">
        <v>72</v>
      </c>
      <c r="G23" s="20" t="s">
        <v>133</v>
      </c>
    </row>
    <row r="24" spans="1:7" s="5" customFormat="1" ht="27.6" x14ac:dyDescent="0.3">
      <c r="A24" s="3">
        <f>A23+1</f>
        <v>21</v>
      </c>
      <c r="B24" s="3">
        <v>1</v>
      </c>
      <c r="C24" s="3" t="s">
        <v>32</v>
      </c>
      <c r="D24" s="9" t="s">
        <v>33</v>
      </c>
      <c r="E24" s="10" t="s">
        <v>34</v>
      </c>
      <c r="F24" s="14" t="s">
        <v>86</v>
      </c>
      <c r="G24" s="20" t="s">
        <v>140</v>
      </c>
    </row>
    <row r="25" spans="1:7" s="5" customFormat="1" x14ac:dyDescent="0.3">
      <c r="A25" s="3">
        <f>A24+1</f>
        <v>22</v>
      </c>
      <c r="B25" s="3">
        <v>1</v>
      </c>
      <c r="C25" s="3" t="s">
        <v>35</v>
      </c>
      <c r="D25" s="11" t="s">
        <v>58</v>
      </c>
      <c r="E25" s="8" t="s">
        <v>36</v>
      </c>
      <c r="F25" s="8" t="s">
        <v>72</v>
      </c>
      <c r="G25" s="20" t="s">
        <v>137</v>
      </c>
    </row>
    <row r="26" spans="1:7" s="5" customFormat="1" x14ac:dyDescent="0.3">
      <c r="A26" s="3">
        <f>A25+1</f>
        <v>23</v>
      </c>
      <c r="B26" s="3">
        <v>3</v>
      </c>
      <c r="C26" s="3" t="s">
        <v>37</v>
      </c>
      <c r="D26" s="9" t="s">
        <v>38</v>
      </c>
      <c r="E26" s="20" t="s">
        <v>139</v>
      </c>
      <c r="F26" s="12" t="s">
        <v>73</v>
      </c>
      <c r="G26" s="20" t="s">
        <v>136</v>
      </c>
    </row>
    <row r="27" spans="1:7" s="5" customFormat="1" x14ac:dyDescent="0.3">
      <c r="A27" s="20">
        <f>A26+1</f>
        <v>24</v>
      </c>
      <c r="B27" s="20">
        <v>1</v>
      </c>
      <c r="C27" s="3" t="s">
        <v>37</v>
      </c>
      <c r="D27" s="9" t="s">
        <v>38</v>
      </c>
      <c r="E27" s="20" t="s">
        <v>138</v>
      </c>
      <c r="F27" s="12" t="s">
        <v>73</v>
      </c>
      <c r="G27" s="20" t="s">
        <v>137</v>
      </c>
    </row>
    <row r="28" spans="1:7" s="5" customFormat="1" x14ac:dyDescent="0.3">
      <c r="A28" s="20">
        <f>A27+1</f>
        <v>25</v>
      </c>
      <c r="B28" s="3">
        <v>1</v>
      </c>
      <c r="C28" s="3" t="s">
        <v>39</v>
      </c>
      <c r="D28" s="9" t="s">
        <v>40</v>
      </c>
      <c r="E28" s="20" t="s">
        <v>141</v>
      </c>
      <c r="F28" s="12" t="s">
        <v>74</v>
      </c>
      <c r="G28" s="20" t="s">
        <v>136</v>
      </c>
    </row>
    <row r="29" spans="1:7" s="5" customFormat="1" x14ac:dyDescent="0.3">
      <c r="A29" s="20">
        <f>A28+1</f>
        <v>26</v>
      </c>
      <c r="B29" s="20">
        <v>1</v>
      </c>
      <c r="C29" s="3" t="s">
        <v>39</v>
      </c>
      <c r="D29" s="9" t="s">
        <v>40</v>
      </c>
      <c r="E29" s="20" t="s">
        <v>142</v>
      </c>
      <c r="F29" s="12" t="s">
        <v>74</v>
      </c>
      <c r="G29" s="20" t="s">
        <v>137</v>
      </c>
    </row>
    <row r="30" spans="1:7" s="5" customFormat="1" ht="27.6" x14ac:dyDescent="0.3">
      <c r="A30" s="3">
        <f>A28+1</f>
        <v>26</v>
      </c>
      <c r="B30" s="3">
        <v>68</v>
      </c>
      <c r="C30" s="10" t="s">
        <v>52</v>
      </c>
      <c r="D30" s="9" t="s">
        <v>41</v>
      </c>
      <c r="E30" s="8" t="s">
        <v>53</v>
      </c>
      <c r="F30" s="14" t="s">
        <v>92</v>
      </c>
      <c r="G30" s="20"/>
    </row>
    <row r="31" spans="1:7" s="5" customFormat="1" ht="27.6" x14ac:dyDescent="0.3">
      <c r="A31" s="3">
        <f>A30+1</f>
        <v>27</v>
      </c>
      <c r="B31" s="3">
        <v>1</v>
      </c>
      <c r="C31" s="10" t="s">
        <v>55</v>
      </c>
      <c r="D31" s="9" t="s">
        <v>56</v>
      </c>
      <c r="E31" s="8" t="s">
        <v>57</v>
      </c>
      <c r="F31" s="12" t="s">
        <v>70</v>
      </c>
      <c r="G31" s="20" t="s">
        <v>136</v>
      </c>
    </row>
    <row r="32" spans="1:7" s="5" customFormat="1" ht="41.4" x14ac:dyDescent="0.3">
      <c r="A32" s="3">
        <f>A31+1</f>
        <v>28</v>
      </c>
      <c r="B32" s="3">
        <v>1</v>
      </c>
      <c r="C32" s="10" t="s">
        <v>42</v>
      </c>
      <c r="D32" s="9" t="s">
        <v>43</v>
      </c>
      <c r="E32" s="8" t="s">
        <v>44</v>
      </c>
      <c r="F32" s="14" t="s">
        <v>100</v>
      </c>
      <c r="G32" s="20" t="s">
        <v>140</v>
      </c>
    </row>
    <row r="33" spans="1:7" s="5" customFormat="1" ht="27.6" x14ac:dyDescent="0.3">
      <c r="A33" s="3">
        <f>A32+1</f>
        <v>29</v>
      </c>
      <c r="B33" s="14">
        <v>2</v>
      </c>
      <c r="C33" s="14" t="s">
        <v>89</v>
      </c>
      <c r="D33" s="15"/>
      <c r="E33" s="14" t="s">
        <v>88</v>
      </c>
      <c r="F33" s="14" t="s">
        <v>97</v>
      </c>
      <c r="G33" s="20" t="s">
        <v>140</v>
      </c>
    </row>
    <row r="34" spans="1:7" s="5" customFormat="1" ht="27.6" x14ac:dyDescent="0.3">
      <c r="A34" s="3">
        <f>A33+1</f>
        <v>30</v>
      </c>
      <c r="B34" s="14">
        <v>1</v>
      </c>
      <c r="C34" s="14" t="s">
        <v>90</v>
      </c>
      <c r="D34" s="15"/>
      <c r="E34" s="14" t="s">
        <v>88</v>
      </c>
      <c r="F34" s="14" t="s">
        <v>98</v>
      </c>
      <c r="G34" s="20" t="s">
        <v>140</v>
      </c>
    </row>
    <row r="35" spans="1:7" s="5" customFormat="1" x14ac:dyDescent="0.3">
      <c r="A35" s="3">
        <f>A34+1</f>
        <v>31</v>
      </c>
      <c r="B35" s="14">
        <v>1</v>
      </c>
      <c r="C35" s="14" t="s">
        <v>99</v>
      </c>
      <c r="D35" s="15"/>
      <c r="E35" s="14" t="s">
        <v>88</v>
      </c>
      <c r="F35" s="14" t="s">
        <v>113</v>
      </c>
      <c r="G35" s="20" t="s">
        <v>140</v>
      </c>
    </row>
    <row r="36" spans="1:7" s="5" customFormat="1" ht="27.6" x14ac:dyDescent="0.3">
      <c r="A36" s="3">
        <f>A35+1</f>
        <v>32</v>
      </c>
      <c r="B36" s="3">
        <v>1</v>
      </c>
      <c r="C36" s="10" t="s">
        <v>45</v>
      </c>
      <c r="D36" s="9" t="s">
        <v>45</v>
      </c>
      <c r="E36" s="8" t="s">
        <v>46</v>
      </c>
      <c r="F36" s="14" t="s">
        <v>87</v>
      </c>
      <c r="G36" s="20" t="s">
        <v>143</v>
      </c>
    </row>
    <row r="37" spans="1:7" s="5" customFormat="1" ht="27.6" x14ac:dyDescent="0.3">
      <c r="A37" s="3">
        <f>A36+1</f>
        <v>33</v>
      </c>
      <c r="B37" s="14">
        <v>2</v>
      </c>
      <c r="C37" s="14" t="s">
        <v>91</v>
      </c>
      <c r="D37" s="15"/>
      <c r="E37" s="14" t="s">
        <v>93</v>
      </c>
      <c r="F37" s="14" t="s">
        <v>94</v>
      </c>
      <c r="G37" s="20" t="s">
        <v>143</v>
      </c>
    </row>
    <row r="38" spans="1:7" s="5" customFormat="1" ht="27.6" x14ac:dyDescent="0.3">
      <c r="A38" s="3">
        <f>A37+1</f>
        <v>34</v>
      </c>
      <c r="B38" s="3">
        <v>1</v>
      </c>
      <c r="C38" s="10" t="s">
        <v>47</v>
      </c>
      <c r="D38" s="9" t="s">
        <v>47</v>
      </c>
      <c r="E38" s="8" t="s">
        <v>48</v>
      </c>
      <c r="F38" s="14" t="s">
        <v>120</v>
      </c>
      <c r="G38" s="20" t="s">
        <v>137</v>
      </c>
    </row>
    <row r="39" spans="1:7" s="5" customFormat="1" x14ac:dyDescent="0.3">
      <c r="A39" s="3">
        <f>A38+1</f>
        <v>35</v>
      </c>
      <c r="B39" s="3">
        <v>1</v>
      </c>
      <c r="C39" s="10" t="s">
        <v>49</v>
      </c>
      <c r="D39" s="9" t="s">
        <v>50</v>
      </c>
      <c r="E39" s="8" t="s">
        <v>51</v>
      </c>
      <c r="F39" s="12" t="s">
        <v>75</v>
      </c>
      <c r="G39" s="20" t="s">
        <v>136</v>
      </c>
    </row>
    <row r="40" spans="1:7" s="5" customFormat="1" ht="41.4" x14ac:dyDescent="0.3">
      <c r="A40" s="3">
        <f>A39+1</f>
        <v>36</v>
      </c>
      <c r="B40" s="12">
        <v>1</v>
      </c>
      <c r="C40" s="14" t="s">
        <v>95</v>
      </c>
      <c r="D40" s="13"/>
      <c r="E40" s="14" t="s">
        <v>103</v>
      </c>
      <c r="F40" s="14" t="s">
        <v>105</v>
      </c>
      <c r="G40" s="20"/>
    </row>
    <row r="41" spans="1:7" s="5" customFormat="1" x14ac:dyDescent="0.3">
      <c r="A41" s="3">
        <f>A40+1</f>
        <v>37</v>
      </c>
      <c r="B41" s="12">
        <v>1</v>
      </c>
      <c r="C41" s="14" t="s">
        <v>96</v>
      </c>
      <c r="D41" s="13"/>
      <c r="E41" s="14" t="s">
        <v>104</v>
      </c>
      <c r="F41" s="14" t="s">
        <v>102</v>
      </c>
      <c r="G41" s="20"/>
    </row>
    <row r="42" spans="1:7" s="5" customFormat="1" ht="27.6" x14ac:dyDescent="0.3">
      <c r="A42" s="3">
        <f>A41+1</f>
        <v>38</v>
      </c>
      <c r="B42" s="14">
        <v>58</v>
      </c>
      <c r="C42" s="14" t="s">
        <v>106</v>
      </c>
      <c r="D42" s="15"/>
      <c r="E42" s="14"/>
      <c r="F42" s="14" t="s">
        <v>109</v>
      </c>
      <c r="G42" s="20"/>
    </row>
    <row r="43" spans="1:7" s="5" customFormat="1" ht="27.6" x14ac:dyDescent="0.3">
      <c r="A43" s="3">
        <f>A42+1</f>
        <v>39</v>
      </c>
      <c r="B43" s="14">
        <v>8</v>
      </c>
      <c r="C43" s="14" t="s">
        <v>107</v>
      </c>
      <c r="D43" s="15"/>
      <c r="E43" s="14"/>
      <c r="F43" s="14" t="s">
        <v>109</v>
      </c>
      <c r="G43" s="20"/>
    </row>
    <row r="44" spans="1:7" s="5" customFormat="1" ht="27.6" x14ac:dyDescent="0.3">
      <c r="A44" s="3">
        <f>A43+1</f>
        <v>40</v>
      </c>
      <c r="B44" s="14">
        <v>1</v>
      </c>
      <c r="C44" s="14" t="s">
        <v>110</v>
      </c>
      <c r="D44" s="15"/>
      <c r="E44" s="14" t="s">
        <v>104</v>
      </c>
      <c r="F44" s="14" t="s">
        <v>109</v>
      </c>
      <c r="G44" s="20"/>
    </row>
    <row r="45" spans="1:7" s="5" customFormat="1" ht="27.6" x14ac:dyDescent="0.3">
      <c r="A45" s="3">
        <f>A44+1</f>
        <v>41</v>
      </c>
      <c r="B45" s="14">
        <v>1</v>
      </c>
      <c r="C45" s="14" t="s">
        <v>108</v>
      </c>
      <c r="D45" s="15"/>
      <c r="E45" s="14" t="s">
        <v>103</v>
      </c>
      <c r="F45" s="14" t="s">
        <v>109</v>
      </c>
      <c r="G45" s="20"/>
    </row>
    <row r="46" spans="1:7" s="5" customFormat="1" x14ac:dyDescent="0.3">
      <c r="A46" s="3">
        <f>A45+1</f>
        <v>42</v>
      </c>
      <c r="B46" s="12">
        <v>25</v>
      </c>
      <c r="C46" s="12" t="s">
        <v>79</v>
      </c>
      <c r="D46" s="13"/>
      <c r="E46" s="12"/>
      <c r="F46" s="14" t="s">
        <v>101</v>
      </c>
      <c r="G46" s="20"/>
    </row>
    <row r="47" spans="1:7" s="5" customFormat="1" x14ac:dyDescent="0.3">
      <c r="A47" s="3">
        <f>A46+1</f>
        <v>43</v>
      </c>
      <c r="B47" s="12">
        <v>2</v>
      </c>
      <c r="C47" s="12" t="s">
        <v>80</v>
      </c>
      <c r="D47" s="13"/>
      <c r="E47" s="12"/>
      <c r="F47" s="14" t="s">
        <v>101</v>
      </c>
      <c r="G47" s="20"/>
    </row>
    <row r="48" spans="1:7" s="5" customFormat="1" x14ac:dyDescent="0.3">
      <c r="A48" s="3">
        <f>A47+1</f>
        <v>44</v>
      </c>
      <c r="B48" s="12">
        <v>2</v>
      </c>
      <c r="C48" s="12" t="s">
        <v>81</v>
      </c>
      <c r="D48" s="13"/>
      <c r="E48" s="12"/>
      <c r="F48" s="12"/>
      <c r="G48" s="20"/>
    </row>
    <row r="49" spans="1:7" s="5" customFormat="1" x14ac:dyDescent="0.3">
      <c r="A49" s="3">
        <f>A48+1</f>
        <v>45</v>
      </c>
      <c r="B49" s="14">
        <v>1</v>
      </c>
      <c r="C49" s="14" t="s">
        <v>111</v>
      </c>
      <c r="D49" s="15"/>
      <c r="E49" s="14"/>
      <c r="F49" s="14" t="s">
        <v>112</v>
      </c>
      <c r="G49" s="20"/>
    </row>
    <row r="50" spans="1:7" s="5" customFormat="1" ht="27.6" x14ac:dyDescent="0.3">
      <c r="A50" s="3">
        <f>A49+1</f>
        <v>46</v>
      </c>
      <c r="B50" s="14">
        <v>1</v>
      </c>
      <c r="C50" s="14" t="s">
        <v>121</v>
      </c>
      <c r="D50" s="15"/>
      <c r="E50" s="14"/>
      <c r="F50" s="14" t="s">
        <v>122</v>
      </c>
      <c r="G50" s="20"/>
    </row>
    <row r="51" spans="1:7" s="5" customFormat="1" ht="27.6" x14ac:dyDescent="0.3">
      <c r="A51" s="3">
        <f>A50+1</f>
        <v>47</v>
      </c>
      <c r="B51" s="16">
        <v>1</v>
      </c>
      <c r="C51" s="16" t="s">
        <v>123</v>
      </c>
      <c r="D51" s="17"/>
      <c r="E51" s="16"/>
      <c r="F51" s="16" t="s">
        <v>124</v>
      </c>
      <c r="G51" s="20"/>
    </row>
    <row r="52" spans="1:7" s="5" customFormat="1" ht="27.6" x14ac:dyDescent="0.3">
      <c r="A52" s="3">
        <f>A51+1</f>
        <v>48</v>
      </c>
      <c r="B52" s="16">
        <v>1</v>
      </c>
      <c r="C52" s="16" t="s">
        <v>125</v>
      </c>
      <c r="D52" s="17"/>
      <c r="E52" s="16"/>
      <c r="F52" s="16" t="s">
        <v>126</v>
      </c>
      <c r="G52" s="20" t="s">
        <v>133</v>
      </c>
    </row>
    <row r="53" spans="1:7" s="5" customFormat="1" x14ac:dyDescent="0.3">
      <c r="A53" s="3">
        <f>A52+1</f>
        <v>49</v>
      </c>
      <c r="B53" s="16">
        <v>1</v>
      </c>
      <c r="C53" s="16" t="s">
        <v>127</v>
      </c>
      <c r="D53" s="17"/>
      <c r="E53" s="16"/>
      <c r="F53" s="16" t="s">
        <v>126</v>
      </c>
      <c r="G53" s="20" t="s">
        <v>135</v>
      </c>
    </row>
    <row r="54" spans="1:7" s="5" customFormat="1" x14ac:dyDescent="0.3">
      <c r="D54" s="6"/>
    </row>
    <row r="55" spans="1:7" s="5" customFormat="1" x14ac:dyDescent="0.3">
      <c r="A55" s="21" t="s">
        <v>146</v>
      </c>
      <c r="B55" s="22" t="s">
        <v>136</v>
      </c>
      <c r="C55" s="22" t="s">
        <v>147</v>
      </c>
      <c r="D55" s="6"/>
    </row>
    <row r="56" spans="1:7" s="5" customFormat="1" ht="27.6" x14ac:dyDescent="0.3">
      <c r="A56" s="21"/>
      <c r="B56" s="22" t="s">
        <v>133</v>
      </c>
      <c r="C56" s="22" t="s">
        <v>148</v>
      </c>
      <c r="D56" s="6"/>
    </row>
    <row r="57" spans="1:7" s="5" customFormat="1" x14ac:dyDescent="0.3">
      <c r="A57" s="23"/>
      <c r="B57" s="24" t="s">
        <v>137</v>
      </c>
      <c r="C57" s="24" t="s">
        <v>149</v>
      </c>
      <c r="D57" s="6"/>
    </row>
    <row r="58" spans="1:7" s="5" customFormat="1" ht="27.6" x14ac:dyDescent="0.3">
      <c r="A58" s="21"/>
      <c r="B58" s="22" t="s">
        <v>129</v>
      </c>
      <c r="C58" s="22" t="s">
        <v>150</v>
      </c>
      <c r="D58" s="6"/>
    </row>
    <row r="59" spans="1:7" s="5" customFormat="1" ht="27.6" x14ac:dyDescent="0.3">
      <c r="A59" s="23"/>
      <c r="B59" s="24" t="s">
        <v>140</v>
      </c>
      <c r="C59" s="24" t="s">
        <v>151</v>
      </c>
      <c r="D59" s="6"/>
    </row>
    <row r="60" spans="1:7" s="5" customFormat="1" x14ac:dyDescent="0.3">
      <c r="A60" s="21"/>
      <c r="B60" s="22" t="s">
        <v>135</v>
      </c>
      <c r="C60" s="22" t="s">
        <v>152</v>
      </c>
      <c r="D60" s="6"/>
    </row>
    <row r="61" spans="1:7" s="5" customFormat="1" ht="27.6" x14ac:dyDescent="0.3">
      <c r="A61" s="23"/>
      <c r="B61" s="24" t="s">
        <v>143</v>
      </c>
      <c r="C61" s="24" t="s">
        <v>153</v>
      </c>
      <c r="D61" s="6"/>
    </row>
    <row r="62" spans="1:7" s="5" customFormat="1" x14ac:dyDescent="0.3">
      <c r="D62" s="6"/>
    </row>
    <row r="63" spans="1:7" s="5" customFormat="1" x14ac:dyDescent="0.3">
      <c r="A63"/>
      <c r="B63"/>
      <c r="C63" s="2"/>
      <c r="D63" s="4"/>
      <c r="E63" s="2"/>
      <c r="F63" s="2"/>
    </row>
    <row r="64" spans="1:7" s="5" customFormat="1" x14ac:dyDescent="0.3">
      <c r="A64"/>
      <c r="B64"/>
      <c r="C64" s="2"/>
      <c r="D64" s="4"/>
      <c r="E64" s="2"/>
      <c r="F64" s="2"/>
    </row>
    <row r="65" spans="1:6" s="5" customFormat="1" x14ac:dyDescent="0.3">
      <c r="A65"/>
      <c r="B65"/>
      <c r="C65" s="2"/>
      <c r="D65" s="4"/>
      <c r="E65" s="2"/>
      <c r="F65" s="2"/>
    </row>
    <row r="66" spans="1:6" s="5" customFormat="1" x14ac:dyDescent="0.3">
      <c r="A66"/>
      <c r="B66"/>
      <c r="C66" s="2"/>
      <c r="D66" s="4"/>
      <c r="E66" s="2"/>
      <c r="F66" s="2"/>
    </row>
    <row r="67" spans="1:6" s="5" customFormat="1" x14ac:dyDescent="0.3">
      <c r="A67"/>
      <c r="B67"/>
      <c r="C67" s="2"/>
      <c r="D67" s="4"/>
      <c r="E67" s="2"/>
      <c r="F67" s="2"/>
    </row>
    <row r="68" spans="1:6" s="5" customFormat="1" x14ac:dyDescent="0.3">
      <c r="A68"/>
      <c r="B68"/>
      <c r="C68" s="2"/>
      <c r="D68" s="4"/>
      <c r="E68" s="2"/>
      <c r="F68" s="2"/>
    </row>
    <row r="69" spans="1:6" x14ac:dyDescent="0.3">
      <c r="C69" s="2"/>
      <c r="D69" s="4"/>
      <c r="F69" s="2"/>
    </row>
    <row r="70" spans="1:6" x14ac:dyDescent="0.3">
      <c r="C70" s="2"/>
      <c r="D70" s="4"/>
      <c r="F70" s="2"/>
    </row>
    <row r="71" spans="1:6" x14ac:dyDescent="0.3">
      <c r="C71" s="2"/>
      <c r="D71" s="4"/>
      <c r="F71" s="2"/>
    </row>
    <row r="72" spans="1:6" x14ac:dyDescent="0.3">
      <c r="C72" s="2"/>
      <c r="D72" s="4"/>
      <c r="F72" s="2"/>
    </row>
    <row r="73" spans="1:6" x14ac:dyDescent="0.3">
      <c r="C73" s="2"/>
      <c r="D73" s="4"/>
      <c r="F73" s="2"/>
    </row>
    <row r="74" spans="1:6" x14ac:dyDescent="0.3">
      <c r="C74" s="2"/>
      <c r="D74" s="4"/>
      <c r="F74" s="2"/>
    </row>
    <row r="75" spans="1:6" x14ac:dyDescent="0.3">
      <c r="C75" s="2"/>
      <c r="D75" s="4"/>
      <c r="F75" s="2"/>
    </row>
    <row r="76" spans="1:6" x14ac:dyDescent="0.3">
      <c r="C76" s="2"/>
      <c r="D76" s="4"/>
      <c r="F76" s="2"/>
    </row>
    <row r="77" spans="1:6" x14ac:dyDescent="0.3">
      <c r="C77" s="2"/>
      <c r="D77" s="4"/>
      <c r="F77" s="2"/>
    </row>
    <row r="78" spans="1:6" x14ac:dyDescent="0.3">
      <c r="C78" s="2"/>
      <c r="D78" s="4"/>
      <c r="F78" s="2"/>
    </row>
    <row r="79" spans="1:6" x14ac:dyDescent="0.3">
      <c r="C79" s="2"/>
      <c r="D79" s="4"/>
      <c r="F79" s="2"/>
    </row>
    <row r="80" spans="1:6" x14ac:dyDescent="0.3">
      <c r="C80" s="2"/>
      <c r="D80" s="4"/>
      <c r="F80" s="2"/>
    </row>
    <row r="81" spans="3:6" x14ac:dyDescent="0.3">
      <c r="C81" s="2"/>
      <c r="D81" s="4"/>
      <c r="F81" s="2"/>
    </row>
    <row r="82" spans="3:6" x14ac:dyDescent="0.3">
      <c r="C82" s="2"/>
      <c r="D82" s="4"/>
      <c r="F82" s="2"/>
    </row>
    <row r="83" spans="3:6" x14ac:dyDescent="0.3">
      <c r="C83" s="2"/>
      <c r="D83" s="4"/>
      <c r="F83" s="2"/>
    </row>
    <row r="84" spans="3:6" x14ac:dyDescent="0.3">
      <c r="C84" s="2"/>
      <c r="D84" s="4"/>
      <c r="F84" s="2"/>
    </row>
    <row r="85" spans="3:6" x14ac:dyDescent="0.3">
      <c r="C85" s="2"/>
      <c r="D85" s="4"/>
      <c r="F85" s="2"/>
    </row>
    <row r="86" spans="3:6" x14ac:dyDescent="0.3">
      <c r="C86" s="2"/>
      <c r="D86" s="4"/>
      <c r="F86" s="2"/>
    </row>
  </sheetData>
  <mergeCells count="2">
    <mergeCell ref="A1:G1"/>
    <mergeCell ref="A2:G2"/>
  </mergeCells>
  <phoneticPr fontId="26" type="noConversion"/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223-5-01-00.0</oddFooter>
  </headerFooter>
  <ignoredErrors>
    <ignoredError sqref="A4" calculatedColumn="1"/>
    <ignoredError sqref="D17:D23 D25 D14:D15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2026-08-07T16:13:13Z</dcterms:modified>
</cp:coreProperties>
</file>