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C64 Keyboard with Hot Swap Sockets\Rev. 2\excel\"/>
    </mc:Choice>
  </mc:AlternateContent>
  <xr:revisionPtr revIDLastSave="0" documentId="13_ncr:1_{35E4AD08-77B7-4BAB-BB2D-4E9D21580D04}" xr6:coauthVersionLast="47" xr6:coauthVersionMax="47" xr10:uidLastSave="{00000000-0000-0000-0000-000000000000}"/>
  <bookViews>
    <workbookView xWindow="3780" yWindow="108" windowWidth="27036" windowHeight="14700" xr2:uid="{00000000-000D-0000-FFFF-FFFF00000000}"/>
  </bookViews>
  <sheets>
    <sheet name="Stückliste" sheetId="1" r:id="rId1"/>
  </sheets>
  <definedNames>
    <definedName name="_xlnm.Print_Area" localSheetId="0">Stückliste!$A$1:$G$69</definedName>
    <definedName name="_xlnm.Print_Titles" localSheetId="0">Stückliste!$1:$3</definedName>
  </definedNames>
  <calcPr calcId="181029"/>
</workbook>
</file>

<file path=xl/calcChain.xml><?xml version="1.0" encoding="utf-8"?>
<calcChain xmlns="http://schemas.openxmlformats.org/spreadsheetml/2006/main">
  <c r="A9" i="1" l="1"/>
  <c r="A10" i="1" s="1"/>
  <c r="A5" i="1"/>
  <c r="A6" i="1" s="1"/>
  <c r="A7" i="1" s="1"/>
  <c r="A8" i="1" s="1"/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</calcChain>
</file>

<file path=xl/sharedStrings.xml><?xml version="1.0" encoding="utf-8"?>
<sst xmlns="http://schemas.openxmlformats.org/spreadsheetml/2006/main" count="255" uniqueCount="168">
  <si>
    <t>Pos.</t>
  </si>
  <si>
    <t>Qty</t>
  </si>
  <si>
    <t>Value</t>
  </si>
  <si>
    <t>Footprint</t>
  </si>
  <si>
    <t>Ref.-No.</t>
  </si>
  <si>
    <t>Comment</t>
  </si>
  <si>
    <t>2 Layer</t>
  </si>
  <si>
    <t>Group</t>
  </si>
  <si>
    <t>_PCB Rev. 1</t>
  </si>
  <si>
    <t>2 layer, Cu 35µ, HASL, 385.6mm x 96.4mm, 1.6mm FR4</t>
  </si>
  <si>
    <t>100n</t>
  </si>
  <si>
    <t>0805</t>
  </si>
  <si>
    <t>C30X16L</t>
  </si>
  <si>
    <t>C4</t>
  </si>
  <si>
    <t>C5</t>
  </si>
  <si>
    <t>LL4148</t>
  </si>
  <si>
    <t>SOD80C</t>
  </si>
  <si>
    <t>SN74HC74D</t>
  </si>
  <si>
    <t>SO-14</t>
  </si>
  <si>
    <t>IC1</t>
  </si>
  <si>
    <t>74HC123D</t>
  </si>
  <si>
    <t>SO-16</t>
  </si>
  <si>
    <t>IC2</t>
  </si>
  <si>
    <t>TL7705ACD</t>
  </si>
  <si>
    <t>SO8</t>
  </si>
  <si>
    <t>IC3</t>
  </si>
  <si>
    <t>2X10WH</t>
  </si>
  <si>
    <t>J1</t>
  </si>
  <si>
    <t>1X05/90</t>
  </si>
  <si>
    <t>1X03/90</t>
  </si>
  <si>
    <t>J3, J8</t>
  </si>
  <si>
    <t>pin header, 2p/90°, 2.54mm</t>
  </si>
  <si>
    <t>1X02/90</t>
  </si>
  <si>
    <t>J4</t>
  </si>
  <si>
    <t>standard 90° pin header, e.g. Reichelt BKL 10120522</t>
  </si>
  <si>
    <t>1X04/90</t>
  </si>
  <si>
    <t>PCF8575-MODULE</t>
  </si>
  <si>
    <t>PCF8575MODUL</t>
  </si>
  <si>
    <t>M1</t>
  </si>
  <si>
    <t>PRO_MICRO</t>
  </si>
  <si>
    <t>M2</t>
  </si>
  <si>
    <t>BC847B</t>
  </si>
  <si>
    <t>SOT23</t>
  </si>
  <si>
    <t>Q1, Q3, Q5</t>
  </si>
  <si>
    <t>R1</t>
  </si>
  <si>
    <t>330R</t>
  </si>
  <si>
    <t>R11</t>
  </si>
  <si>
    <t>470R</t>
  </si>
  <si>
    <t>R16</t>
  </si>
  <si>
    <t>4k7</t>
  </si>
  <si>
    <t>R18</t>
  </si>
  <si>
    <t>33R</t>
  </si>
  <si>
    <t>R19</t>
  </si>
  <si>
    <t>10k</t>
  </si>
  <si>
    <t>27k</t>
  </si>
  <si>
    <t>R20</t>
  </si>
  <si>
    <t>R4</t>
  </si>
  <si>
    <t>dnp</t>
  </si>
  <si>
    <t>R6</t>
  </si>
  <si>
    <t>47k</t>
  </si>
  <si>
    <t>RN-9</t>
  </si>
  <si>
    <t>RN1</t>
  </si>
  <si>
    <t>RMP-14P/HT</t>
  </si>
  <si>
    <t>SPK1</t>
  </si>
  <si>
    <t>CHERRYMX</t>
  </si>
  <si>
    <t>SW17 or SW17A, SW18 or SW18A,  SW32 or SW32A, SW33 or SW33A, SW49 or SW49A, SW51 or SW51A, SW62 or SW62A, SW65 or SW65A</t>
  </si>
  <si>
    <t>SW67, SW68</t>
  </si>
  <si>
    <t>Jumper, 2.54mm</t>
  </si>
  <si>
    <t>(J4)</t>
  </si>
  <si>
    <t>standard 2.54mm jumper, only requird for short boards</t>
  </si>
  <si>
    <t>1000u/10V</t>
  </si>
  <si>
    <r>
      <t xml:space="preserve">electrolytic capacitor, axial leads, maximum length 30mm, maximum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 xml:space="preserve"> 16mm. E.g. Reichelt  AX 105 1000/10</t>
    </r>
  </si>
  <si>
    <t>Capacitor SMD 0805,  25V, X7R, ±10% or better</t>
  </si>
  <si>
    <t>Diode, SMD</t>
  </si>
  <si>
    <t xml:space="preserve">SMD IC, e.G. TI </t>
  </si>
  <si>
    <t>box pin header, 2x10, 90°</t>
  </si>
  <si>
    <t>standard 2x10 pin box pin header, e.g. Reichelt.de WSL 20W</t>
  </si>
  <si>
    <t>pin header, 5p/90°, 2.54mm</t>
  </si>
  <si>
    <t>J6</t>
  </si>
  <si>
    <t>J2</t>
  </si>
  <si>
    <t>DO NOT PLACE</t>
  </si>
  <si>
    <t>KF2510 , 3p/90°, 2.54mm</t>
  </si>
  <si>
    <t>KF2510 (AliExpress) or Molex KK 2.54 (3p, 90°)</t>
  </si>
  <si>
    <t>pin header, 4p/90°, 2.54mm</t>
  </si>
  <si>
    <t>standard 90° pin header, e.g. Reichelt W+P 946-144</t>
  </si>
  <si>
    <t>LED (high brightness)</t>
  </si>
  <si>
    <t>LED 3mm</t>
  </si>
  <si>
    <t>(SW35)</t>
  </si>
  <si>
    <t>e.G. Kingbright L-7104SRC-J4 (Reichelt LED 3-4500 RT)</t>
  </si>
  <si>
    <t>Ali Express PCF8575 module. Read module description. Configuration of solder bridges requires</t>
  </si>
  <si>
    <t>10 way socket for pin header 2.54mm</t>
  </si>
  <si>
    <t>(M1)</t>
  </si>
  <si>
    <t>precision sockets, 2.54mm, 1x10, straight. E.g. Reichelt MPE 115-1-010</t>
  </si>
  <si>
    <t>5 way socket for pin header 2.54mm</t>
  </si>
  <si>
    <t>precision sockets, 2.54mm, 1x5, straight. E.g. Reichelt MPE 115-1-005</t>
  </si>
  <si>
    <t>5 way pin header, 2.54mm</t>
  </si>
  <si>
    <t>straight, e.g. Reichelt BKL 10120503</t>
  </si>
  <si>
    <t>Ali Express pro micro module. USB-C connector prefered. Read module description</t>
  </si>
  <si>
    <t>12 way socket for pin header 2.54mm</t>
  </si>
  <si>
    <t>(M2)</t>
  </si>
  <si>
    <t>precision sockets, 2.54mm, 1x12, straight. E.g. Reichelt MPE 115-1-012</t>
  </si>
  <si>
    <t>Resistor SMD 0805, 5% or better</t>
  </si>
  <si>
    <t>Resistor network, 8 resistors/9 pins. E.g- Reichelt SIL 9-8 47K</t>
  </si>
  <si>
    <r>
      <t xml:space="preserve">piezzo buzzer,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>14mm, pin distance 7.6mm,  EKULIT (Reichelt SUMMER EPM 121)</t>
    </r>
  </si>
  <si>
    <t>Stabilizer, screw in type 7U</t>
  </si>
  <si>
    <t>(SW66)</t>
  </si>
  <si>
    <t>(for 7U space bar or 9U spacebar of C64U/Blingboard64 (CBMStuff.com). Read module description)</t>
  </si>
  <si>
    <t>Stabilizer, screw in type 2U</t>
  </si>
  <si>
    <t>(SW48)</t>
  </si>
  <si>
    <t xml:space="preserve">for RETURN key </t>
  </si>
  <si>
    <t>1U, blank keycaps</t>
  </si>
  <si>
    <t>1.5U, blank keycaps</t>
  </si>
  <si>
    <t>2U, blank keycap</t>
  </si>
  <si>
    <t>7U space bar</t>
  </si>
  <si>
    <t>C 2.2 x 6,5 H</t>
  </si>
  <si>
    <t>screw, self tapping, DIN 7981</t>
  </si>
  <si>
    <t>C 2.9 x 9,5 H</t>
  </si>
  <si>
    <t>3.2mm washer</t>
  </si>
  <si>
    <t>3D printed keyboard frame</t>
  </si>
  <si>
    <t xml:space="preserve">ribbon cable  + connector PCB </t>
  </si>
  <si>
    <t>Project No. 224</t>
  </si>
  <si>
    <t>Rev. 1</t>
  </si>
  <si>
    <t>SL</t>
  </si>
  <si>
    <t>SPK</t>
  </si>
  <si>
    <t>USBKB</t>
  </si>
  <si>
    <t>CTRL</t>
  </si>
  <si>
    <t>RGB</t>
  </si>
  <si>
    <t>J5</t>
  </si>
  <si>
    <t>J7</t>
  </si>
  <si>
    <t>I²C</t>
  </si>
  <si>
    <t>KSW</t>
  </si>
  <si>
    <t>100R*</t>
  </si>
  <si>
    <t xml:space="preserve">Resistor SMD 0805, 5% or better. Read Module Description </t>
  </si>
  <si>
    <t>D1</t>
  </si>
  <si>
    <t>D2</t>
  </si>
  <si>
    <t>POR</t>
  </si>
  <si>
    <t>R2, R3, R5, R7</t>
  </si>
  <si>
    <t>R8, R9, R10, R12, R13, R14, R15</t>
  </si>
  <si>
    <t>SW** = for original keycaps, SW**A = for modern keycaps. Read module description</t>
  </si>
  <si>
    <t>KSW and RGB</t>
  </si>
  <si>
    <t>for MX  compatibel switches, DSA profile. Read module description</t>
  </si>
  <si>
    <t>kernal switcher cable</t>
  </si>
  <si>
    <t>Read module description</t>
  </si>
  <si>
    <t>SW1, SW2, SW3, SW4, SW5, SW6, SW7, SW8, SW9, SW10, SW11, SW12, SW13, SW14, SW15, SW16, SW19, SW20, SW21, SW22, SW23, SW24, SW25, SW26, SW27, SW28, SW29, SW30, SW31, SW34, SW35, SW36, SW37, SW38, SW39, SW40, SW41, SW42, SW43, SW44,  SW45, SW46, SW47, SW48, SW50, SW52, SW53, SW54, SW55, SW56, SW57, SW58, SW59, SW60, SW61, SW63, SW64, SW66</t>
  </si>
  <si>
    <t xml:space="preserve">Cherry MX compatible switch, 5 Pin </t>
  </si>
  <si>
    <t>Cherry MX compatible switches of your choice. Read the module description.</t>
  </si>
  <si>
    <t>optional WS2812B RGB LED strip</t>
  </si>
  <si>
    <t>optional OLED display</t>
  </si>
  <si>
    <t>Drawing 223-3-001-00. Read module description</t>
  </si>
  <si>
    <t>Grp.</t>
  </si>
  <si>
    <t>Shift Lock Circuit</t>
  </si>
  <si>
    <t>Power on reset</t>
  </si>
  <si>
    <t>RGB LED strip</t>
  </si>
  <si>
    <t>Piezo Buzzer</t>
  </si>
  <si>
    <t>Kernal Switcher</t>
  </si>
  <si>
    <t>USB Keyboard</t>
  </si>
  <si>
    <t>I²C (OLED) Display</t>
  </si>
  <si>
    <t>Controller/pro micro</t>
  </si>
  <si>
    <t>225-2-01-01</t>
  </si>
  <si>
    <t>SMD Hot Swap Sockets</t>
  </si>
  <si>
    <t xml:space="preserve">SW1-68, SW17A, SW18A, SW32A, SW33A, SW49A, SW51A, SW62A, SW65A </t>
  </si>
  <si>
    <t>E.g. Kailh CPG151101S11-16 (AliExpress). Read module description</t>
  </si>
  <si>
    <t>C64 Keyboard (Hot Swap) Rev. 2</t>
  </si>
  <si>
    <t>Bill of Material Rev. 2.0</t>
  </si>
  <si>
    <t>C1, C2, C3, C4</t>
  </si>
  <si>
    <t>C7</t>
  </si>
  <si>
    <t>4u7</t>
  </si>
  <si>
    <t>C6, 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</si>
</sst>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  <font>
      <sz val="11"/>
      <color theme="1"/>
      <name val="Symbol"/>
      <family val="1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2" fillId="0" borderId="0" xfId="0" applyFont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9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G69" totalsRowShown="0" headerRowDxfId="8" dataDxfId="7">
  <autoFilter ref="A3:G69" xr:uid="{00000000-0009-0000-0100-000001000000}"/>
  <sortState xmlns:xlrd2="http://schemas.microsoft.com/office/spreadsheetml/2017/richdata2" ref="A4:F43">
    <sortCondition ref="E3:E43"/>
  </sortState>
  <tableColumns count="7">
    <tableColumn id="1" xr3:uid="{00000000-0010-0000-0000-000001000000}" name="Pos." dataDxfId="6"/>
    <tableColumn id="2" xr3:uid="{00000000-0010-0000-0000-000002000000}" name="Qty" dataDxfId="5"/>
    <tableColumn id="3" xr3:uid="{00000000-0010-0000-0000-000003000000}" name="Value" dataDxfId="4"/>
    <tableColumn id="4" xr3:uid="{00000000-0010-0000-0000-000004000000}" name="Footprint" dataDxfId="3"/>
    <tableColumn id="5" xr3:uid="{00000000-0010-0000-0000-000005000000}" name="Ref.-No." dataDxfId="2"/>
    <tableColumn id="6" xr3:uid="{00000000-0010-0000-0000-000006000000}" name="Comment" dataDxfId="1"/>
    <tableColumn id="7" xr3:uid="{D1F23E14-D3D0-46EA-8521-81BE2A1E7AD5}" name="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8"/>
  <sheetViews>
    <sheetView tabSelected="1" view="pageLayout" topLeftCell="A61" zoomScale="115" zoomScaleNormal="100" zoomScalePageLayoutView="115" workbookViewId="0">
      <selection activeCell="F8" sqref="F8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32.6640625" customWidth="1"/>
    <col min="7" max="7" width="8.77734375" customWidth="1"/>
  </cols>
  <sheetData>
    <row r="1" spans="1:7" ht="20.399999999999999" customHeight="1" x14ac:dyDescent="0.35">
      <c r="A1" s="15" t="s">
        <v>162</v>
      </c>
      <c r="B1" s="15"/>
      <c r="C1" s="15"/>
      <c r="D1" s="15"/>
      <c r="E1" s="15"/>
      <c r="F1" s="15"/>
      <c r="G1" s="15"/>
    </row>
    <row r="2" spans="1:7" ht="20.399999999999999" x14ac:dyDescent="0.35">
      <c r="A2" s="16" t="s">
        <v>163</v>
      </c>
      <c r="B2" s="16"/>
      <c r="C2" s="16"/>
      <c r="D2" s="16"/>
      <c r="E2" s="16"/>
      <c r="F2" s="16"/>
      <c r="G2" s="16"/>
    </row>
    <row r="3" spans="1:7" s="5" customFormat="1" x14ac:dyDescent="0.3">
      <c r="A3" s="3" t="s">
        <v>0</v>
      </c>
      <c r="B3" s="7" t="s">
        <v>1</v>
      </c>
      <c r="C3" s="8" t="s">
        <v>2</v>
      </c>
      <c r="D3" s="9" t="s">
        <v>3</v>
      </c>
      <c r="E3" s="8" t="s">
        <v>4</v>
      </c>
      <c r="F3" s="8" t="s">
        <v>5</v>
      </c>
      <c r="G3" s="10" t="s">
        <v>7</v>
      </c>
    </row>
    <row r="4" spans="1:7" s="5" customFormat="1" ht="27.6" x14ac:dyDescent="0.3">
      <c r="A4" s="10">
        <v>1</v>
      </c>
      <c r="B4" s="10">
        <v>1</v>
      </c>
      <c r="C4" s="13" t="s">
        <v>158</v>
      </c>
      <c r="D4" s="11" t="s">
        <v>6</v>
      </c>
      <c r="E4" s="10" t="s">
        <v>8</v>
      </c>
      <c r="F4" s="10" t="s">
        <v>9</v>
      </c>
      <c r="G4" s="10"/>
    </row>
    <row r="5" spans="1:7" s="5" customFormat="1" ht="27.6" x14ac:dyDescent="0.3">
      <c r="A5" s="10">
        <f>A4+1</f>
        <v>2</v>
      </c>
      <c r="B5" s="10">
        <v>4</v>
      </c>
      <c r="C5" s="10" t="s">
        <v>10</v>
      </c>
      <c r="D5" s="12" t="s">
        <v>11</v>
      </c>
      <c r="E5" s="13" t="s">
        <v>164</v>
      </c>
      <c r="F5" s="10" t="s">
        <v>72</v>
      </c>
      <c r="G5" s="10" t="s">
        <v>122</v>
      </c>
    </row>
    <row r="6" spans="1:7" s="5" customFormat="1" ht="55.2" x14ac:dyDescent="0.3">
      <c r="A6" s="10">
        <f t="shared" ref="A6:A60" si="0">A5+1</f>
        <v>3</v>
      </c>
      <c r="B6" s="10">
        <v>1</v>
      </c>
      <c r="C6" s="10" t="s">
        <v>70</v>
      </c>
      <c r="D6" s="11" t="s">
        <v>12</v>
      </c>
      <c r="E6" s="10" t="s">
        <v>13</v>
      </c>
      <c r="F6" s="10" t="s">
        <v>71</v>
      </c>
      <c r="G6" s="10" t="s">
        <v>126</v>
      </c>
    </row>
    <row r="7" spans="1:7" s="5" customFormat="1" ht="27.6" x14ac:dyDescent="0.3">
      <c r="A7" s="10">
        <f t="shared" si="0"/>
        <v>4</v>
      </c>
      <c r="B7" s="10">
        <v>1</v>
      </c>
      <c r="C7" s="17" t="s">
        <v>10</v>
      </c>
      <c r="D7" s="12" t="s">
        <v>11</v>
      </c>
      <c r="E7" s="10" t="s">
        <v>14</v>
      </c>
      <c r="F7" s="10" t="s">
        <v>72</v>
      </c>
      <c r="G7" s="10" t="s">
        <v>122</v>
      </c>
    </row>
    <row r="8" spans="1:7" s="5" customFormat="1" ht="27.6" x14ac:dyDescent="0.3">
      <c r="A8" s="10">
        <f t="shared" si="0"/>
        <v>5</v>
      </c>
      <c r="B8" s="10">
        <v>2</v>
      </c>
      <c r="C8" s="10" t="s">
        <v>10</v>
      </c>
      <c r="D8" s="12" t="s">
        <v>11</v>
      </c>
      <c r="E8" s="17" t="s">
        <v>167</v>
      </c>
      <c r="F8" s="10" t="s">
        <v>72</v>
      </c>
      <c r="G8" s="10" t="s">
        <v>135</v>
      </c>
    </row>
    <row r="9" spans="1:7" s="5" customFormat="1" ht="27.6" x14ac:dyDescent="0.3">
      <c r="A9" s="10">
        <f t="shared" si="0"/>
        <v>6</v>
      </c>
      <c r="B9" s="17">
        <v>1</v>
      </c>
      <c r="C9" s="17" t="s">
        <v>166</v>
      </c>
      <c r="D9" s="18"/>
      <c r="E9" s="17" t="s">
        <v>165</v>
      </c>
      <c r="F9" s="10" t="s">
        <v>72</v>
      </c>
      <c r="G9" s="17" t="s">
        <v>135</v>
      </c>
    </row>
    <row r="10" spans="1:7" s="5" customFormat="1" x14ac:dyDescent="0.3">
      <c r="A10" s="10">
        <f t="shared" si="0"/>
        <v>7</v>
      </c>
      <c r="B10" s="10">
        <v>1</v>
      </c>
      <c r="C10" s="10" t="s">
        <v>15</v>
      </c>
      <c r="D10" s="11" t="s">
        <v>16</v>
      </c>
      <c r="E10" s="10" t="s">
        <v>133</v>
      </c>
      <c r="F10" s="10" t="s">
        <v>73</v>
      </c>
      <c r="G10" s="10" t="s">
        <v>122</v>
      </c>
    </row>
    <row r="11" spans="1:7" s="5" customFormat="1" x14ac:dyDescent="0.3">
      <c r="A11" s="10">
        <f t="shared" si="0"/>
        <v>8</v>
      </c>
      <c r="B11" s="10">
        <v>2</v>
      </c>
      <c r="C11" s="10" t="s">
        <v>15</v>
      </c>
      <c r="D11" s="11" t="s">
        <v>16</v>
      </c>
      <c r="E11" s="10" t="s">
        <v>134</v>
      </c>
      <c r="F11" s="10" t="s">
        <v>73</v>
      </c>
      <c r="G11" s="10" t="s">
        <v>123</v>
      </c>
    </row>
    <row r="12" spans="1:7" s="5" customFormat="1" x14ac:dyDescent="0.3">
      <c r="A12" s="10">
        <f t="shared" si="0"/>
        <v>9</v>
      </c>
      <c r="B12" s="10">
        <v>1</v>
      </c>
      <c r="C12" s="10" t="s">
        <v>17</v>
      </c>
      <c r="D12" s="11" t="s">
        <v>18</v>
      </c>
      <c r="E12" s="10" t="s">
        <v>19</v>
      </c>
      <c r="F12" s="10" t="s">
        <v>74</v>
      </c>
      <c r="G12" s="10" t="s">
        <v>122</v>
      </c>
    </row>
    <row r="13" spans="1:7" s="5" customFormat="1" x14ac:dyDescent="0.3">
      <c r="A13" s="10">
        <f t="shared" si="0"/>
        <v>10</v>
      </c>
      <c r="B13" s="10">
        <v>1</v>
      </c>
      <c r="C13" s="10" t="s">
        <v>20</v>
      </c>
      <c r="D13" s="11" t="s">
        <v>21</v>
      </c>
      <c r="E13" s="10" t="s">
        <v>22</v>
      </c>
      <c r="F13" s="10" t="s">
        <v>74</v>
      </c>
      <c r="G13" s="10" t="s">
        <v>122</v>
      </c>
    </row>
    <row r="14" spans="1:7" s="5" customFormat="1" x14ac:dyDescent="0.3">
      <c r="A14" s="10">
        <f t="shared" si="0"/>
        <v>11</v>
      </c>
      <c r="B14" s="10">
        <v>1</v>
      </c>
      <c r="C14" s="10" t="s">
        <v>23</v>
      </c>
      <c r="D14" s="11" t="s">
        <v>24</v>
      </c>
      <c r="E14" s="10" t="s">
        <v>25</v>
      </c>
      <c r="F14" s="10" t="s">
        <v>74</v>
      </c>
      <c r="G14" s="10" t="s">
        <v>135</v>
      </c>
    </row>
    <row r="15" spans="1:7" s="5" customFormat="1" ht="27.6" x14ac:dyDescent="0.3">
      <c r="A15" s="10">
        <f t="shared" si="0"/>
        <v>12</v>
      </c>
      <c r="B15" s="10">
        <v>1</v>
      </c>
      <c r="C15" s="10" t="s">
        <v>75</v>
      </c>
      <c r="D15" s="11" t="s">
        <v>26</v>
      </c>
      <c r="E15" s="10" t="s">
        <v>27</v>
      </c>
      <c r="F15" s="10" t="s">
        <v>76</v>
      </c>
      <c r="G15" s="10"/>
    </row>
    <row r="16" spans="1:7" s="5" customFormat="1" ht="27.6" x14ac:dyDescent="0.3">
      <c r="A16" s="10">
        <f t="shared" si="0"/>
        <v>13</v>
      </c>
      <c r="B16" s="10">
        <v>1</v>
      </c>
      <c r="C16" s="10" t="s">
        <v>77</v>
      </c>
      <c r="D16" s="11" t="s">
        <v>28</v>
      </c>
      <c r="E16" s="10" t="s">
        <v>79</v>
      </c>
      <c r="F16" s="10" t="s">
        <v>34</v>
      </c>
      <c r="G16" s="10" t="s">
        <v>130</v>
      </c>
    </row>
    <row r="17" spans="1:7" s="5" customFormat="1" ht="27.6" x14ac:dyDescent="0.3">
      <c r="A17" s="10">
        <f t="shared" si="0"/>
        <v>14</v>
      </c>
      <c r="B17" s="10">
        <v>1</v>
      </c>
      <c r="C17" s="10" t="s">
        <v>77</v>
      </c>
      <c r="D17" s="11" t="s">
        <v>28</v>
      </c>
      <c r="E17" s="10" t="s">
        <v>78</v>
      </c>
      <c r="F17" s="10" t="s">
        <v>80</v>
      </c>
      <c r="G17" s="10"/>
    </row>
    <row r="18" spans="1:7" s="5" customFormat="1" ht="27.6" x14ac:dyDescent="0.3">
      <c r="A18" s="10">
        <f t="shared" si="0"/>
        <v>15</v>
      </c>
      <c r="B18" s="10">
        <v>2</v>
      </c>
      <c r="C18" s="10" t="s">
        <v>81</v>
      </c>
      <c r="D18" s="11" t="s">
        <v>29</v>
      </c>
      <c r="E18" s="10" t="s">
        <v>30</v>
      </c>
      <c r="F18" s="10" t="s">
        <v>82</v>
      </c>
      <c r="G18" s="10"/>
    </row>
    <row r="19" spans="1:7" s="5" customFormat="1" ht="27.6" x14ac:dyDescent="0.3">
      <c r="A19" s="10">
        <f t="shared" si="0"/>
        <v>16</v>
      </c>
      <c r="B19" s="10">
        <v>1</v>
      </c>
      <c r="C19" s="10" t="s">
        <v>31</v>
      </c>
      <c r="D19" s="11" t="s">
        <v>32</v>
      </c>
      <c r="E19" s="10" t="s">
        <v>33</v>
      </c>
      <c r="F19" s="10" t="s">
        <v>34</v>
      </c>
      <c r="G19" s="10" t="s">
        <v>130</v>
      </c>
    </row>
    <row r="20" spans="1:7" s="5" customFormat="1" ht="27.6" x14ac:dyDescent="0.3">
      <c r="A20" s="10">
        <f t="shared" si="0"/>
        <v>17</v>
      </c>
      <c r="B20" s="10">
        <v>1</v>
      </c>
      <c r="C20" s="10" t="s">
        <v>67</v>
      </c>
      <c r="D20" s="11"/>
      <c r="E20" s="10" t="s">
        <v>68</v>
      </c>
      <c r="F20" s="10" t="s">
        <v>69</v>
      </c>
      <c r="G20" s="10" t="s">
        <v>130</v>
      </c>
    </row>
    <row r="21" spans="1:7" s="5" customFormat="1" ht="27.6" x14ac:dyDescent="0.3">
      <c r="A21" s="10">
        <f>A20+1</f>
        <v>18</v>
      </c>
      <c r="B21" s="10">
        <v>1</v>
      </c>
      <c r="C21" s="10" t="s">
        <v>83</v>
      </c>
      <c r="D21" s="11" t="s">
        <v>35</v>
      </c>
      <c r="E21" s="10" t="s">
        <v>127</v>
      </c>
      <c r="F21" s="10" t="s">
        <v>84</v>
      </c>
      <c r="G21" s="10" t="s">
        <v>126</v>
      </c>
    </row>
    <row r="22" spans="1:7" s="5" customFormat="1" ht="27.6" x14ac:dyDescent="0.3">
      <c r="A22" s="10">
        <f t="shared" si="0"/>
        <v>19</v>
      </c>
      <c r="B22" s="10">
        <v>1</v>
      </c>
      <c r="C22" s="10" t="s">
        <v>83</v>
      </c>
      <c r="D22" s="11" t="s">
        <v>35</v>
      </c>
      <c r="E22" s="10" t="s">
        <v>128</v>
      </c>
      <c r="F22" s="10" t="s">
        <v>84</v>
      </c>
      <c r="G22" s="10" t="s">
        <v>129</v>
      </c>
    </row>
    <row r="23" spans="1:7" s="5" customFormat="1" ht="41.4" x14ac:dyDescent="0.3">
      <c r="A23" s="10">
        <f t="shared" si="0"/>
        <v>20</v>
      </c>
      <c r="B23" s="10">
        <v>1</v>
      </c>
      <c r="C23" s="10" t="s">
        <v>36</v>
      </c>
      <c r="D23" s="11" t="s">
        <v>37</v>
      </c>
      <c r="E23" s="10" t="s">
        <v>38</v>
      </c>
      <c r="F23" s="10" t="s">
        <v>89</v>
      </c>
      <c r="G23" s="10" t="s">
        <v>124</v>
      </c>
    </row>
    <row r="24" spans="1:7" s="5" customFormat="1" ht="27.6" x14ac:dyDescent="0.3">
      <c r="A24" s="10">
        <f t="shared" si="0"/>
        <v>21</v>
      </c>
      <c r="B24" s="10">
        <v>2</v>
      </c>
      <c r="C24" s="10" t="s">
        <v>90</v>
      </c>
      <c r="D24" s="11"/>
      <c r="E24" s="10" t="s">
        <v>91</v>
      </c>
      <c r="F24" s="10" t="s">
        <v>92</v>
      </c>
      <c r="G24" s="10" t="s">
        <v>124</v>
      </c>
    </row>
    <row r="25" spans="1:7" s="5" customFormat="1" ht="27.6" x14ac:dyDescent="0.3">
      <c r="A25" s="10">
        <f t="shared" si="0"/>
        <v>22</v>
      </c>
      <c r="B25" s="10">
        <v>1</v>
      </c>
      <c r="C25" s="10" t="s">
        <v>93</v>
      </c>
      <c r="D25" s="11"/>
      <c r="E25" s="10" t="s">
        <v>91</v>
      </c>
      <c r="F25" s="10" t="s">
        <v>94</v>
      </c>
      <c r="G25" s="10" t="s">
        <v>124</v>
      </c>
    </row>
    <row r="26" spans="1:7" s="5" customFormat="1" ht="27.6" x14ac:dyDescent="0.3">
      <c r="A26" s="10">
        <f t="shared" si="0"/>
        <v>23</v>
      </c>
      <c r="B26" s="10">
        <v>1</v>
      </c>
      <c r="C26" s="10" t="s">
        <v>95</v>
      </c>
      <c r="D26" s="11"/>
      <c r="E26" s="10" t="s">
        <v>91</v>
      </c>
      <c r="F26" s="10" t="s">
        <v>96</v>
      </c>
      <c r="G26" s="10" t="s">
        <v>124</v>
      </c>
    </row>
    <row r="27" spans="1:7" s="5" customFormat="1" ht="41.4" x14ac:dyDescent="0.3">
      <c r="A27" s="10">
        <f>A26+1</f>
        <v>24</v>
      </c>
      <c r="B27" s="10">
        <v>1</v>
      </c>
      <c r="C27" s="10" t="s">
        <v>39</v>
      </c>
      <c r="D27" s="11" t="s">
        <v>39</v>
      </c>
      <c r="E27" s="10" t="s">
        <v>40</v>
      </c>
      <c r="F27" s="10" t="s">
        <v>97</v>
      </c>
      <c r="G27" s="10" t="s">
        <v>125</v>
      </c>
    </row>
    <row r="28" spans="1:7" s="5" customFormat="1" ht="27.6" x14ac:dyDescent="0.3">
      <c r="A28" s="10">
        <f t="shared" si="0"/>
        <v>25</v>
      </c>
      <c r="B28" s="10">
        <v>2</v>
      </c>
      <c r="C28" s="10" t="s">
        <v>98</v>
      </c>
      <c r="D28" s="11"/>
      <c r="E28" s="10" t="s">
        <v>99</v>
      </c>
      <c r="F28" s="10" t="s">
        <v>100</v>
      </c>
      <c r="G28" s="10" t="s">
        <v>125</v>
      </c>
    </row>
    <row r="29" spans="1:7" s="5" customFormat="1" x14ac:dyDescent="0.3">
      <c r="A29" s="10">
        <f t="shared" si="0"/>
        <v>26</v>
      </c>
      <c r="B29" s="10">
        <v>3</v>
      </c>
      <c r="C29" s="10" t="s">
        <v>41</v>
      </c>
      <c r="D29" s="11" t="s">
        <v>42</v>
      </c>
      <c r="E29" s="10" t="s">
        <v>43</v>
      </c>
      <c r="F29" s="10"/>
      <c r="G29" s="10"/>
    </row>
    <row r="30" spans="1:7" s="5" customFormat="1" ht="27.6" x14ac:dyDescent="0.3">
      <c r="A30" s="10">
        <f t="shared" si="0"/>
        <v>27</v>
      </c>
      <c r="B30" s="10">
        <v>1</v>
      </c>
      <c r="C30" s="10" t="s">
        <v>131</v>
      </c>
      <c r="D30" s="12" t="s">
        <v>11</v>
      </c>
      <c r="E30" s="10" t="s">
        <v>44</v>
      </c>
      <c r="F30" s="10" t="s">
        <v>132</v>
      </c>
      <c r="G30" s="10" t="s">
        <v>122</v>
      </c>
    </row>
    <row r="31" spans="1:7" s="5" customFormat="1" x14ac:dyDescent="0.3">
      <c r="A31" s="10">
        <f t="shared" si="0"/>
        <v>28</v>
      </c>
      <c r="B31" s="10">
        <v>1</v>
      </c>
      <c r="C31" s="10" t="s">
        <v>45</v>
      </c>
      <c r="D31" s="12" t="s">
        <v>11</v>
      </c>
      <c r="E31" s="10" t="s">
        <v>46</v>
      </c>
      <c r="F31" s="10" t="s">
        <v>101</v>
      </c>
      <c r="G31" s="10"/>
    </row>
    <row r="32" spans="1:7" s="5" customFormat="1" x14ac:dyDescent="0.3">
      <c r="A32" s="10">
        <f t="shared" si="0"/>
        <v>29</v>
      </c>
      <c r="B32" s="10">
        <v>1</v>
      </c>
      <c r="C32" s="10" t="s">
        <v>47</v>
      </c>
      <c r="D32" s="12" t="s">
        <v>11</v>
      </c>
      <c r="E32" s="10" t="s">
        <v>48</v>
      </c>
      <c r="F32" s="10" t="s">
        <v>101</v>
      </c>
      <c r="G32" s="10" t="s">
        <v>126</v>
      </c>
    </row>
    <row r="33" spans="1:7" s="5" customFormat="1" x14ac:dyDescent="0.3">
      <c r="A33" s="10">
        <f t="shared" si="0"/>
        <v>30</v>
      </c>
      <c r="B33" s="10">
        <v>1</v>
      </c>
      <c r="C33" s="10" t="s">
        <v>49</v>
      </c>
      <c r="D33" s="12" t="s">
        <v>11</v>
      </c>
      <c r="E33" s="10" t="s">
        <v>50</v>
      </c>
      <c r="F33" s="10" t="s">
        <v>101</v>
      </c>
      <c r="G33" s="10" t="s">
        <v>123</v>
      </c>
    </row>
    <row r="34" spans="1:7" s="5" customFormat="1" x14ac:dyDescent="0.3">
      <c r="A34" s="10">
        <f t="shared" si="0"/>
        <v>31</v>
      </c>
      <c r="B34" s="10">
        <v>1</v>
      </c>
      <c r="C34" s="10" t="s">
        <v>51</v>
      </c>
      <c r="D34" s="12" t="s">
        <v>11</v>
      </c>
      <c r="E34" s="10" t="s">
        <v>52</v>
      </c>
      <c r="F34" s="10" t="s">
        <v>101</v>
      </c>
      <c r="G34" s="10" t="s">
        <v>123</v>
      </c>
    </row>
    <row r="35" spans="1:7" s="5" customFormat="1" x14ac:dyDescent="0.3">
      <c r="A35" s="10">
        <f t="shared" si="0"/>
        <v>32</v>
      </c>
      <c r="B35" s="10">
        <v>11</v>
      </c>
      <c r="C35" s="10" t="s">
        <v>53</v>
      </c>
      <c r="D35" s="12" t="s">
        <v>11</v>
      </c>
      <c r="E35" s="10" t="s">
        <v>136</v>
      </c>
      <c r="F35" s="10" t="s">
        <v>101</v>
      </c>
      <c r="G35" s="10" t="s">
        <v>122</v>
      </c>
    </row>
    <row r="36" spans="1:7" s="5" customFormat="1" ht="27.6" x14ac:dyDescent="0.3">
      <c r="A36" s="10">
        <f t="shared" si="0"/>
        <v>33</v>
      </c>
      <c r="B36" s="10">
        <v>11</v>
      </c>
      <c r="C36" s="10" t="s">
        <v>53</v>
      </c>
      <c r="D36" s="12" t="s">
        <v>11</v>
      </c>
      <c r="E36" s="10" t="s">
        <v>137</v>
      </c>
      <c r="F36" s="10" t="s">
        <v>101</v>
      </c>
      <c r="G36" s="10"/>
    </row>
    <row r="37" spans="1:7" s="5" customFormat="1" x14ac:dyDescent="0.3">
      <c r="A37" s="10">
        <f t="shared" si="0"/>
        <v>34</v>
      </c>
      <c r="B37" s="10">
        <v>1</v>
      </c>
      <c r="C37" s="10" t="s">
        <v>54</v>
      </c>
      <c r="D37" s="12" t="s">
        <v>11</v>
      </c>
      <c r="E37" s="10" t="s">
        <v>55</v>
      </c>
      <c r="F37" s="10" t="s">
        <v>101</v>
      </c>
      <c r="G37" s="10" t="s">
        <v>123</v>
      </c>
    </row>
    <row r="38" spans="1:7" s="5" customFormat="1" x14ac:dyDescent="0.3">
      <c r="A38" s="10">
        <f t="shared" si="0"/>
        <v>35</v>
      </c>
      <c r="B38" s="10">
        <v>1</v>
      </c>
      <c r="C38" s="10" t="s">
        <v>54</v>
      </c>
      <c r="D38" s="12" t="s">
        <v>11</v>
      </c>
      <c r="E38" s="10" t="s">
        <v>56</v>
      </c>
      <c r="F38" s="10" t="s">
        <v>101</v>
      </c>
      <c r="G38" s="10" t="s">
        <v>122</v>
      </c>
    </row>
    <row r="39" spans="1:7" s="5" customFormat="1" x14ac:dyDescent="0.3">
      <c r="A39" s="10">
        <f>A38+1</f>
        <v>36</v>
      </c>
      <c r="B39" s="10">
        <v>1</v>
      </c>
      <c r="C39" s="10" t="s">
        <v>57</v>
      </c>
      <c r="D39" s="12" t="s">
        <v>11</v>
      </c>
      <c r="E39" s="10" t="s">
        <v>58</v>
      </c>
      <c r="F39" s="10" t="s">
        <v>80</v>
      </c>
      <c r="G39" s="10"/>
    </row>
    <row r="40" spans="1:7" s="5" customFormat="1" ht="27.6" x14ac:dyDescent="0.3">
      <c r="A40" s="10">
        <f t="shared" si="0"/>
        <v>37</v>
      </c>
      <c r="B40" s="10">
        <v>1</v>
      </c>
      <c r="C40" s="10" t="s">
        <v>59</v>
      </c>
      <c r="D40" s="11" t="s">
        <v>60</v>
      </c>
      <c r="E40" s="10" t="s">
        <v>61</v>
      </c>
      <c r="F40" s="10" t="s">
        <v>102</v>
      </c>
      <c r="G40" s="10" t="s">
        <v>124</v>
      </c>
    </row>
    <row r="41" spans="1:7" s="5" customFormat="1" ht="41.4" x14ac:dyDescent="0.3">
      <c r="A41" s="10">
        <f t="shared" si="0"/>
        <v>38</v>
      </c>
      <c r="B41" s="10">
        <v>1</v>
      </c>
      <c r="C41" s="10" t="s">
        <v>62</v>
      </c>
      <c r="D41" s="11" t="s">
        <v>62</v>
      </c>
      <c r="E41" s="10" t="s">
        <v>63</v>
      </c>
      <c r="F41" s="10" t="s">
        <v>103</v>
      </c>
      <c r="G41" s="10" t="s">
        <v>123</v>
      </c>
    </row>
    <row r="42" spans="1:7" s="5" customFormat="1" ht="193.2" x14ac:dyDescent="0.3">
      <c r="A42" s="10">
        <f t="shared" si="0"/>
        <v>39</v>
      </c>
      <c r="B42" s="10">
        <v>58</v>
      </c>
      <c r="C42" s="10" t="s">
        <v>144</v>
      </c>
      <c r="D42" s="11" t="s">
        <v>64</v>
      </c>
      <c r="E42" s="10" t="s">
        <v>143</v>
      </c>
      <c r="F42" s="10" t="s">
        <v>145</v>
      </c>
      <c r="G42" s="10"/>
    </row>
    <row r="43" spans="1:7" s="5" customFormat="1" ht="82.8" x14ac:dyDescent="0.3">
      <c r="A43" s="10">
        <f t="shared" si="0"/>
        <v>40</v>
      </c>
      <c r="B43" s="10">
        <v>8</v>
      </c>
      <c r="C43" s="10" t="s">
        <v>144</v>
      </c>
      <c r="D43" s="11" t="s">
        <v>64</v>
      </c>
      <c r="E43" s="10" t="s">
        <v>65</v>
      </c>
      <c r="F43" s="10" t="s">
        <v>138</v>
      </c>
      <c r="G43" s="10"/>
    </row>
    <row r="44" spans="1:7" s="5" customFormat="1" ht="27.6" x14ac:dyDescent="0.3">
      <c r="A44" s="10">
        <f t="shared" si="0"/>
        <v>41</v>
      </c>
      <c r="B44" s="10">
        <v>2</v>
      </c>
      <c r="C44" s="10" t="s">
        <v>144</v>
      </c>
      <c r="D44" s="11" t="s">
        <v>64</v>
      </c>
      <c r="E44" s="10" t="s">
        <v>66</v>
      </c>
      <c r="F44" s="10"/>
      <c r="G44" s="10" t="s">
        <v>139</v>
      </c>
    </row>
    <row r="45" spans="1:7" s="5" customFormat="1" ht="41.4" x14ac:dyDescent="0.3">
      <c r="A45" s="10">
        <f t="shared" si="0"/>
        <v>42</v>
      </c>
      <c r="B45" s="13">
        <v>76</v>
      </c>
      <c r="C45" s="13" t="s">
        <v>159</v>
      </c>
      <c r="D45" s="14"/>
      <c r="E45" s="13" t="s">
        <v>160</v>
      </c>
      <c r="F45" s="13" t="s">
        <v>161</v>
      </c>
      <c r="G45" s="13"/>
    </row>
    <row r="46" spans="1:7" s="5" customFormat="1" ht="27.6" x14ac:dyDescent="0.3">
      <c r="A46" s="10">
        <f>A45+1</f>
        <v>43</v>
      </c>
      <c r="B46" s="10">
        <v>1</v>
      </c>
      <c r="C46" s="10" t="s">
        <v>85</v>
      </c>
      <c r="D46" s="11" t="s">
        <v>86</v>
      </c>
      <c r="E46" s="10" t="s">
        <v>87</v>
      </c>
      <c r="F46" s="10" t="s">
        <v>88</v>
      </c>
      <c r="G46" s="5" t="s">
        <v>122</v>
      </c>
    </row>
    <row r="47" spans="1:7" s="5" customFormat="1" ht="55.2" x14ac:dyDescent="0.3">
      <c r="A47" s="10">
        <f t="shared" si="0"/>
        <v>44</v>
      </c>
      <c r="B47" s="10">
        <v>1</v>
      </c>
      <c r="C47" s="10" t="s">
        <v>104</v>
      </c>
      <c r="D47" s="11"/>
      <c r="E47" s="10" t="s">
        <v>105</v>
      </c>
      <c r="F47" s="10" t="s">
        <v>106</v>
      </c>
    </row>
    <row r="48" spans="1:7" s="5" customFormat="1" x14ac:dyDescent="0.3">
      <c r="A48" s="10">
        <f t="shared" si="0"/>
        <v>45</v>
      </c>
      <c r="B48" s="10">
        <v>1</v>
      </c>
      <c r="C48" s="10" t="s">
        <v>107</v>
      </c>
      <c r="D48" s="11"/>
      <c r="E48" s="10" t="s">
        <v>108</v>
      </c>
      <c r="F48" s="10" t="s">
        <v>109</v>
      </c>
    </row>
    <row r="49" spans="1:7" s="5" customFormat="1" ht="27.6" x14ac:dyDescent="0.3">
      <c r="A49" s="10">
        <f t="shared" si="0"/>
        <v>46</v>
      </c>
      <c r="B49" s="10">
        <v>58</v>
      </c>
      <c r="C49" s="10" t="s">
        <v>110</v>
      </c>
      <c r="D49" s="11"/>
      <c r="E49" s="10"/>
      <c r="F49" s="10" t="s">
        <v>140</v>
      </c>
    </row>
    <row r="50" spans="1:7" s="5" customFormat="1" ht="27.6" x14ac:dyDescent="0.3">
      <c r="A50" s="10">
        <f t="shared" si="0"/>
        <v>47</v>
      </c>
      <c r="B50" s="10">
        <v>8</v>
      </c>
      <c r="C50" s="10" t="s">
        <v>111</v>
      </c>
      <c r="D50" s="11"/>
      <c r="E50" s="10"/>
      <c r="F50" s="10" t="s">
        <v>140</v>
      </c>
    </row>
    <row r="51" spans="1:7" s="5" customFormat="1" ht="27.6" x14ac:dyDescent="0.3">
      <c r="A51" s="10">
        <f t="shared" si="0"/>
        <v>48</v>
      </c>
      <c r="B51" s="10">
        <v>1</v>
      </c>
      <c r="C51" s="10" t="s">
        <v>112</v>
      </c>
      <c r="D51" s="11"/>
      <c r="E51" s="10" t="s">
        <v>108</v>
      </c>
      <c r="F51" s="10" t="s">
        <v>140</v>
      </c>
    </row>
    <row r="52" spans="1:7" s="5" customFormat="1" ht="27.6" x14ac:dyDescent="0.3">
      <c r="A52" s="10">
        <f t="shared" si="0"/>
        <v>49</v>
      </c>
      <c r="B52" s="10">
        <v>1</v>
      </c>
      <c r="C52" s="10" t="s">
        <v>113</v>
      </c>
      <c r="D52" s="11"/>
      <c r="E52" s="10" t="s">
        <v>105</v>
      </c>
      <c r="F52" s="10" t="s">
        <v>140</v>
      </c>
    </row>
    <row r="53" spans="1:7" s="5" customFormat="1" x14ac:dyDescent="0.3">
      <c r="A53" s="10">
        <f t="shared" si="0"/>
        <v>50</v>
      </c>
      <c r="B53" s="10">
        <v>25</v>
      </c>
      <c r="C53" s="10" t="s">
        <v>114</v>
      </c>
      <c r="D53" s="11"/>
      <c r="E53" s="10"/>
      <c r="F53" s="10" t="s">
        <v>115</v>
      </c>
    </row>
    <row r="54" spans="1:7" s="5" customFormat="1" x14ac:dyDescent="0.3">
      <c r="A54" s="10">
        <f t="shared" si="0"/>
        <v>51</v>
      </c>
      <c r="B54" s="10">
        <v>2</v>
      </c>
      <c r="C54" s="10" t="s">
        <v>116</v>
      </c>
      <c r="D54" s="11"/>
      <c r="E54" s="10"/>
      <c r="F54" s="10" t="s">
        <v>115</v>
      </c>
    </row>
    <row r="55" spans="1:7" s="5" customFormat="1" x14ac:dyDescent="0.3">
      <c r="A55" s="10">
        <f t="shared" si="0"/>
        <v>52</v>
      </c>
      <c r="B55" s="10">
        <v>2</v>
      </c>
      <c r="C55" s="10" t="s">
        <v>117</v>
      </c>
      <c r="D55" s="11"/>
      <c r="E55" s="10"/>
      <c r="F55" s="10"/>
    </row>
    <row r="56" spans="1:7" s="5" customFormat="1" ht="27.6" x14ac:dyDescent="0.3">
      <c r="A56" s="10">
        <f t="shared" si="0"/>
        <v>53</v>
      </c>
      <c r="B56" s="10">
        <v>1</v>
      </c>
      <c r="C56" s="10" t="s">
        <v>118</v>
      </c>
      <c r="D56" s="11"/>
      <c r="E56" s="10"/>
      <c r="F56" s="10" t="s">
        <v>121</v>
      </c>
    </row>
    <row r="57" spans="1:7" s="5" customFormat="1" ht="27.6" x14ac:dyDescent="0.3">
      <c r="A57" s="10">
        <f t="shared" si="0"/>
        <v>54</v>
      </c>
      <c r="B57" s="10">
        <v>1</v>
      </c>
      <c r="C57" s="10" t="s">
        <v>119</v>
      </c>
      <c r="D57" s="11"/>
      <c r="E57" s="10"/>
      <c r="F57" s="10" t="s">
        <v>120</v>
      </c>
    </row>
    <row r="58" spans="1:7" s="5" customFormat="1" ht="27.6" x14ac:dyDescent="0.3">
      <c r="A58" s="10">
        <f t="shared" si="0"/>
        <v>55</v>
      </c>
      <c r="B58" s="10">
        <v>1</v>
      </c>
      <c r="C58" s="10" t="s">
        <v>141</v>
      </c>
      <c r="D58" s="11"/>
      <c r="E58" s="10"/>
      <c r="F58" s="10" t="s">
        <v>148</v>
      </c>
      <c r="G58" s="10" t="s">
        <v>130</v>
      </c>
    </row>
    <row r="59" spans="1:7" s="5" customFormat="1" ht="27.6" x14ac:dyDescent="0.3">
      <c r="A59" s="10">
        <f t="shared" si="0"/>
        <v>56</v>
      </c>
      <c r="B59" s="10">
        <v>1</v>
      </c>
      <c r="C59" s="10" t="s">
        <v>146</v>
      </c>
      <c r="D59" s="11"/>
      <c r="E59" s="10"/>
      <c r="F59" s="10" t="s">
        <v>142</v>
      </c>
      <c r="G59" s="10" t="s">
        <v>126</v>
      </c>
    </row>
    <row r="60" spans="1:7" s="5" customFormat="1" x14ac:dyDescent="0.3">
      <c r="A60" s="10">
        <f t="shared" si="0"/>
        <v>57</v>
      </c>
      <c r="B60" s="10">
        <v>1</v>
      </c>
      <c r="C60" s="10" t="s">
        <v>147</v>
      </c>
      <c r="D60" s="11"/>
      <c r="E60" s="10"/>
      <c r="F60" s="10" t="s">
        <v>142</v>
      </c>
      <c r="G60" s="10" t="s">
        <v>129</v>
      </c>
    </row>
    <row r="61" spans="1:7" s="5" customFormat="1" x14ac:dyDescent="0.3">
      <c r="A61" s="10"/>
      <c r="B61" s="10"/>
      <c r="C61" s="10"/>
      <c r="D61" s="11"/>
      <c r="E61" s="10"/>
      <c r="F61" s="10"/>
      <c r="G61" s="10"/>
    </row>
    <row r="62" spans="1:7" s="5" customFormat="1" x14ac:dyDescent="0.3">
      <c r="A62" s="10" t="s">
        <v>149</v>
      </c>
      <c r="B62" s="10" t="s">
        <v>122</v>
      </c>
      <c r="C62" s="10" t="s">
        <v>150</v>
      </c>
      <c r="D62" s="11"/>
      <c r="E62" s="10"/>
      <c r="F62" s="10"/>
      <c r="G62" s="10"/>
    </row>
    <row r="63" spans="1:7" s="5" customFormat="1" x14ac:dyDescent="0.3">
      <c r="A63" s="10"/>
      <c r="B63" s="10" t="s">
        <v>135</v>
      </c>
      <c r="C63" s="10" t="s">
        <v>151</v>
      </c>
      <c r="D63" s="11"/>
      <c r="E63" s="10"/>
      <c r="F63" s="10"/>
      <c r="G63" s="10"/>
    </row>
    <row r="64" spans="1:7" s="5" customFormat="1" x14ac:dyDescent="0.3">
      <c r="A64" s="10"/>
      <c r="B64" s="10" t="s">
        <v>126</v>
      </c>
      <c r="C64" s="10" t="s">
        <v>152</v>
      </c>
      <c r="D64" s="11"/>
      <c r="E64" s="10"/>
      <c r="F64" s="10"/>
      <c r="G64" s="10"/>
    </row>
    <row r="65" spans="1:7" s="5" customFormat="1" x14ac:dyDescent="0.3">
      <c r="A65" s="10"/>
      <c r="B65" s="10" t="s">
        <v>123</v>
      </c>
      <c r="C65" s="10" t="s">
        <v>153</v>
      </c>
      <c r="D65" s="11"/>
      <c r="E65" s="10"/>
      <c r="F65" s="10"/>
      <c r="G65" s="10"/>
    </row>
    <row r="66" spans="1:7" s="5" customFormat="1" x14ac:dyDescent="0.3">
      <c r="A66" s="10"/>
      <c r="B66" s="10" t="s">
        <v>130</v>
      </c>
      <c r="C66" s="10" t="s">
        <v>154</v>
      </c>
      <c r="D66" s="11"/>
      <c r="E66" s="10"/>
      <c r="F66" s="10"/>
      <c r="G66" s="10"/>
    </row>
    <row r="67" spans="1:7" s="5" customFormat="1" x14ac:dyDescent="0.3">
      <c r="A67" s="10"/>
      <c r="B67" s="10" t="s">
        <v>124</v>
      </c>
      <c r="C67" s="10" t="s">
        <v>155</v>
      </c>
      <c r="D67" s="11"/>
      <c r="E67" s="10"/>
      <c r="F67" s="10"/>
      <c r="G67" s="10"/>
    </row>
    <row r="68" spans="1:7" s="5" customFormat="1" x14ac:dyDescent="0.3">
      <c r="A68" s="10"/>
      <c r="B68" s="10" t="s">
        <v>129</v>
      </c>
      <c r="C68" s="10" t="s">
        <v>156</v>
      </c>
      <c r="D68" s="11"/>
      <c r="E68" s="10"/>
      <c r="F68" s="10"/>
      <c r="G68" s="10"/>
    </row>
    <row r="69" spans="1:7" s="5" customFormat="1" x14ac:dyDescent="0.3">
      <c r="A69" s="10"/>
      <c r="B69" s="10" t="s">
        <v>125</v>
      </c>
      <c r="C69" s="10" t="s">
        <v>157</v>
      </c>
      <c r="D69" s="11"/>
      <c r="E69" s="10"/>
      <c r="F69" s="10"/>
      <c r="G69" s="10"/>
    </row>
    <row r="70" spans="1:7" s="5" customFormat="1" x14ac:dyDescent="0.3">
      <c r="D70" s="6"/>
    </row>
    <row r="71" spans="1:7" s="5" customFormat="1" x14ac:dyDescent="0.3">
      <c r="D71" s="6"/>
    </row>
    <row r="72" spans="1:7" s="5" customFormat="1" x14ac:dyDescent="0.3">
      <c r="D72" s="6"/>
    </row>
    <row r="73" spans="1:7" s="5" customFormat="1" x14ac:dyDescent="0.3">
      <c r="D73" s="6"/>
    </row>
    <row r="74" spans="1:7" s="5" customFormat="1" x14ac:dyDescent="0.3">
      <c r="D74" s="6"/>
    </row>
    <row r="75" spans="1:7" s="5" customFormat="1" x14ac:dyDescent="0.3">
      <c r="D75" s="6"/>
    </row>
    <row r="76" spans="1:7" s="5" customFormat="1" x14ac:dyDescent="0.3">
      <c r="D76" s="6"/>
    </row>
    <row r="77" spans="1:7" s="5" customFormat="1" x14ac:dyDescent="0.3">
      <c r="D77" s="6"/>
    </row>
    <row r="78" spans="1:7" s="5" customFormat="1" x14ac:dyDescent="0.3">
      <c r="D78" s="6"/>
    </row>
    <row r="79" spans="1:7" s="5" customFormat="1" x14ac:dyDescent="0.3">
      <c r="D79" s="6"/>
    </row>
    <row r="80" spans="1:7" s="5" customFormat="1" x14ac:dyDescent="0.3">
      <c r="D80" s="6"/>
    </row>
    <row r="81" spans="4:4" s="5" customFormat="1" x14ac:dyDescent="0.3">
      <c r="D81" s="6"/>
    </row>
    <row r="82" spans="4:4" s="5" customFormat="1" x14ac:dyDescent="0.3">
      <c r="D82" s="6"/>
    </row>
    <row r="83" spans="4:4" s="5" customFormat="1" x14ac:dyDescent="0.3">
      <c r="D83" s="6"/>
    </row>
    <row r="84" spans="4:4" s="5" customFormat="1" x14ac:dyDescent="0.3">
      <c r="D84" s="6"/>
    </row>
    <row r="85" spans="4:4" s="5" customFormat="1" x14ac:dyDescent="0.3">
      <c r="D85" s="6"/>
    </row>
    <row r="86" spans="4:4" s="5" customFormat="1" x14ac:dyDescent="0.3">
      <c r="D86" s="6"/>
    </row>
    <row r="87" spans="4:4" s="5" customFormat="1" x14ac:dyDescent="0.3">
      <c r="D87" s="6"/>
    </row>
    <row r="88" spans="4:4" s="5" customFormat="1" x14ac:dyDescent="0.3">
      <c r="D88" s="6"/>
    </row>
    <row r="89" spans="4:4" s="5" customFormat="1" x14ac:dyDescent="0.3">
      <c r="D89" s="6"/>
    </row>
    <row r="90" spans="4:4" s="5" customFormat="1" x14ac:dyDescent="0.3">
      <c r="D90" s="6"/>
    </row>
    <row r="91" spans="4:4" s="5" customFormat="1" x14ac:dyDescent="0.3">
      <c r="D91" s="6"/>
    </row>
    <row r="92" spans="4:4" s="5" customFormat="1" x14ac:dyDescent="0.3">
      <c r="D92" s="6"/>
    </row>
    <row r="93" spans="4:4" s="5" customFormat="1" x14ac:dyDescent="0.3">
      <c r="D93" s="6"/>
    </row>
    <row r="94" spans="4:4" s="5" customFormat="1" x14ac:dyDescent="0.3">
      <c r="D94" s="6"/>
    </row>
    <row r="95" spans="4:4" s="5" customFormat="1" x14ac:dyDescent="0.3">
      <c r="D95" s="6"/>
    </row>
    <row r="96" spans="4:4" s="5" customFormat="1" x14ac:dyDescent="0.3">
      <c r="D96" s="6"/>
    </row>
    <row r="97" spans="4:4" s="5" customFormat="1" x14ac:dyDescent="0.3">
      <c r="D97" s="6"/>
    </row>
    <row r="98" spans="4:4" s="5" customFormat="1" x14ac:dyDescent="0.3">
      <c r="D98" s="6"/>
    </row>
    <row r="99" spans="4:4" s="5" customFormat="1" x14ac:dyDescent="0.3">
      <c r="D99" s="6"/>
    </row>
    <row r="100" spans="4:4" s="5" customFormat="1" x14ac:dyDescent="0.3">
      <c r="D100" s="6"/>
    </row>
    <row r="101" spans="4:4" s="5" customFormat="1" x14ac:dyDescent="0.3">
      <c r="D101" s="6"/>
    </row>
    <row r="102" spans="4:4" s="5" customFormat="1" x14ac:dyDescent="0.3">
      <c r="D102" s="6"/>
    </row>
    <row r="103" spans="4:4" s="5" customFormat="1" x14ac:dyDescent="0.3">
      <c r="D103" s="6"/>
    </row>
    <row r="104" spans="4:4" s="5" customFormat="1" x14ac:dyDescent="0.3">
      <c r="D104" s="6"/>
    </row>
    <row r="105" spans="4:4" s="5" customFormat="1" x14ac:dyDescent="0.3">
      <c r="D105" s="6"/>
    </row>
    <row r="106" spans="4:4" s="5" customFormat="1" x14ac:dyDescent="0.3">
      <c r="D106" s="6"/>
    </row>
    <row r="107" spans="4:4" s="5" customFormat="1" x14ac:dyDescent="0.3">
      <c r="D107" s="6"/>
    </row>
    <row r="108" spans="4:4" s="5" customFormat="1" x14ac:dyDescent="0.3">
      <c r="D108" s="6"/>
    </row>
    <row r="109" spans="4:4" s="5" customFormat="1" x14ac:dyDescent="0.3">
      <c r="D109" s="6"/>
    </row>
    <row r="110" spans="4:4" s="5" customFormat="1" x14ac:dyDescent="0.3">
      <c r="D110" s="6"/>
    </row>
    <row r="111" spans="4:4" s="5" customFormat="1" x14ac:dyDescent="0.3">
      <c r="D111" s="6"/>
    </row>
    <row r="112" spans="4:4" s="5" customFormat="1" x14ac:dyDescent="0.3">
      <c r="D112" s="6"/>
    </row>
    <row r="113" spans="4:4" s="5" customFormat="1" x14ac:dyDescent="0.3">
      <c r="D113" s="6"/>
    </row>
    <row r="114" spans="4:4" s="5" customFormat="1" x14ac:dyDescent="0.3">
      <c r="D114" s="6"/>
    </row>
    <row r="115" spans="4:4" s="5" customFormat="1" x14ac:dyDescent="0.3">
      <c r="D115" s="6"/>
    </row>
    <row r="116" spans="4:4" s="5" customFormat="1" x14ac:dyDescent="0.3">
      <c r="D116" s="6"/>
    </row>
    <row r="117" spans="4:4" s="5" customFormat="1" x14ac:dyDescent="0.3">
      <c r="D117" s="6"/>
    </row>
    <row r="118" spans="4:4" s="5" customFormat="1" x14ac:dyDescent="0.3">
      <c r="D118" s="6"/>
    </row>
    <row r="119" spans="4:4" s="5" customFormat="1" x14ac:dyDescent="0.3">
      <c r="D119" s="6"/>
    </row>
    <row r="120" spans="4:4" s="5" customFormat="1" x14ac:dyDescent="0.3">
      <c r="D120" s="6"/>
    </row>
    <row r="121" spans="4:4" s="5" customFormat="1" x14ac:dyDescent="0.3">
      <c r="D121" s="6"/>
    </row>
    <row r="122" spans="4:4" s="5" customFormat="1" x14ac:dyDescent="0.3">
      <c r="D122" s="6"/>
    </row>
    <row r="123" spans="4:4" s="5" customFormat="1" x14ac:dyDescent="0.3">
      <c r="D123" s="6"/>
    </row>
    <row r="124" spans="4:4" s="5" customFormat="1" x14ac:dyDescent="0.3">
      <c r="D124" s="6"/>
    </row>
    <row r="125" spans="4:4" s="5" customFormat="1" x14ac:dyDescent="0.3">
      <c r="D125" s="6"/>
    </row>
    <row r="126" spans="4:4" s="5" customFormat="1" x14ac:dyDescent="0.3">
      <c r="D126" s="6"/>
    </row>
    <row r="127" spans="4:4" s="5" customFormat="1" x14ac:dyDescent="0.3">
      <c r="D127" s="6"/>
    </row>
    <row r="128" spans="4:4" s="5" customFormat="1" x14ac:dyDescent="0.3">
      <c r="D128" s="6"/>
    </row>
    <row r="129" spans="3:6" s="5" customFormat="1" x14ac:dyDescent="0.3">
      <c r="D129" s="6"/>
    </row>
    <row r="130" spans="3:6" s="5" customFormat="1" x14ac:dyDescent="0.3">
      <c r="D130" s="6"/>
    </row>
    <row r="131" spans="3:6" s="5" customFormat="1" x14ac:dyDescent="0.3">
      <c r="D131" s="6"/>
    </row>
    <row r="132" spans="3:6" s="5" customFormat="1" x14ac:dyDescent="0.3">
      <c r="D132" s="6"/>
    </row>
    <row r="133" spans="3:6" s="5" customFormat="1" x14ac:dyDescent="0.3">
      <c r="D133" s="6"/>
    </row>
    <row r="134" spans="3:6" s="5" customFormat="1" x14ac:dyDescent="0.3">
      <c r="D134" s="6"/>
    </row>
    <row r="135" spans="3:6" x14ac:dyDescent="0.3">
      <c r="C135" s="2"/>
      <c r="D135" s="4"/>
      <c r="F135" s="2"/>
    </row>
    <row r="136" spans="3:6" x14ac:dyDescent="0.3">
      <c r="C136" s="2"/>
      <c r="D136" s="4"/>
      <c r="F136" s="2"/>
    </row>
    <row r="137" spans="3:6" x14ac:dyDescent="0.3">
      <c r="C137" s="2"/>
      <c r="D137" s="4"/>
      <c r="F137" s="2"/>
    </row>
    <row r="138" spans="3:6" x14ac:dyDescent="0.3">
      <c r="C138" s="2"/>
      <c r="D138" s="4"/>
      <c r="F138" s="2"/>
    </row>
    <row r="139" spans="3:6" x14ac:dyDescent="0.3">
      <c r="C139" s="2"/>
      <c r="D139" s="4"/>
      <c r="F139" s="2"/>
    </row>
    <row r="140" spans="3:6" x14ac:dyDescent="0.3">
      <c r="C140" s="2"/>
      <c r="D140" s="4"/>
      <c r="F140" s="2"/>
    </row>
    <row r="141" spans="3:6" x14ac:dyDescent="0.3">
      <c r="C141" s="2"/>
      <c r="D141" s="4"/>
      <c r="F141" s="2"/>
    </row>
    <row r="142" spans="3:6" x14ac:dyDescent="0.3">
      <c r="C142" s="2"/>
      <c r="D142" s="4"/>
      <c r="F142" s="2"/>
    </row>
    <row r="143" spans="3:6" x14ac:dyDescent="0.3">
      <c r="C143" s="2"/>
      <c r="D143" s="4"/>
      <c r="F143" s="2"/>
    </row>
    <row r="144" spans="3:6" x14ac:dyDescent="0.3">
      <c r="C144" s="2"/>
      <c r="D144" s="4"/>
      <c r="F144" s="2"/>
    </row>
    <row r="145" spans="3:6" x14ac:dyDescent="0.3">
      <c r="C145" s="2"/>
      <c r="D145" s="4"/>
      <c r="F145" s="2"/>
    </row>
    <row r="146" spans="3:6" x14ac:dyDescent="0.3">
      <c r="C146" s="2"/>
      <c r="D146" s="4"/>
      <c r="F146" s="2"/>
    </row>
    <row r="147" spans="3:6" x14ac:dyDescent="0.3">
      <c r="C147" s="2"/>
      <c r="D147" s="4"/>
      <c r="F147" s="2"/>
    </row>
    <row r="148" spans="3:6" x14ac:dyDescent="0.3">
      <c r="C148" s="2"/>
      <c r="D148" s="4"/>
      <c r="F148" s="2"/>
    </row>
    <row r="149" spans="3:6" x14ac:dyDescent="0.3">
      <c r="C149" s="2"/>
      <c r="D149" s="4"/>
      <c r="F149" s="2"/>
    </row>
    <row r="150" spans="3:6" x14ac:dyDescent="0.3">
      <c r="C150" s="2"/>
      <c r="D150" s="4"/>
      <c r="F150" s="2"/>
    </row>
    <row r="151" spans="3:6" x14ac:dyDescent="0.3">
      <c r="C151" s="2"/>
      <c r="D151" s="4"/>
      <c r="F151" s="2"/>
    </row>
    <row r="152" spans="3:6" x14ac:dyDescent="0.3">
      <c r="C152" s="2"/>
      <c r="D152" s="4"/>
      <c r="F152" s="2"/>
    </row>
    <row r="153" spans="3:6" x14ac:dyDescent="0.3">
      <c r="C153" s="2"/>
      <c r="D153" s="4"/>
      <c r="F153" s="2"/>
    </row>
    <row r="154" spans="3:6" x14ac:dyDescent="0.3">
      <c r="C154" s="2"/>
      <c r="D154" s="4"/>
      <c r="F154" s="2"/>
    </row>
    <row r="155" spans="3:6" x14ac:dyDescent="0.3">
      <c r="C155" s="2"/>
      <c r="D155" s="4"/>
      <c r="F155" s="2"/>
    </row>
    <row r="156" spans="3:6" x14ac:dyDescent="0.3">
      <c r="C156" s="2"/>
      <c r="D156" s="4"/>
      <c r="F156" s="2"/>
    </row>
    <row r="157" spans="3:6" x14ac:dyDescent="0.3">
      <c r="C157" s="2"/>
      <c r="D157" s="4"/>
      <c r="F157" s="2"/>
    </row>
    <row r="158" spans="3:6" x14ac:dyDescent="0.3">
      <c r="C158" s="2"/>
      <c r="D158" s="4"/>
      <c r="F158" s="2"/>
    </row>
  </sheetData>
  <mergeCells count="2">
    <mergeCell ref="A1:G1"/>
    <mergeCell ref="A2:G2"/>
  </mergeCells>
  <pageMargins left="0.70866141732283472" right="0.79166666666666663" top="0.78740157480314965" bottom="0.78740157480314965" header="0.31496062992125984" footer="0.31496062992125984"/>
  <pageSetup paperSize="9" orientation="landscape" r:id="rId1"/>
  <headerFooter>
    <oddFooter>&amp;L&amp;"Futura Lt BT,Light"&amp;F
Drafted by Sven Petersen&amp;C&amp;"Futura Lt BT,Light"Page &amp;P of &amp;N&amp;R&amp;"Futura Lt BT,Light"&amp;D &amp;T
Doc.No.: 225-5-01-02.0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2018-03-12T16:34:50Z</cp:lastPrinted>
  <dcterms:created xsi:type="dcterms:W3CDTF">2018-03-09T10:12:49Z</dcterms:created>
  <dcterms:modified xsi:type="dcterms:W3CDTF">2026-07-11T16:49:41Z</dcterms:modified>
</cp:coreProperties>
</file>