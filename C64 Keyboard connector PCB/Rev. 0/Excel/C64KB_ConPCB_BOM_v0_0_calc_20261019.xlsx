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connector PCB\Rev. 0\Excel\"/>
    </mc:Choice>
  </mc:AlternateContent>
  <xr:revisionPtr revIDLastSave="0" documentId="13_ncr:1_{1673B325-F7DD-4DE9-B496-AA250E6024E6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Stückliste!$A$1:$F$11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E13" i="1" l="1"/>
  <c r="E4" i="1"/>
  <c r="E5" i="1"/>
  <c r="E6" i="1"/>
  <c r="E7" i="1"/>
  <c r="E8" i="1"/>
  <c r="E9" i="1"/>
  <c r="E10" i="1"/>
  <c r="E11" i="1"/>
</calcChain>
</file>

<file path=xl/sharedStrings.xml><?xml version="1.0" encoding="utf-8"?>
<sst xmlns="http://schemas.openxmlformats.org/spreadsheetml/2006/main" count="25" uniqueCount="25">
  <si>
    <t>Pos.</t>
  </si>
  <si>
    <t>Qty</t>
  </si>
  <si>
    <t>Value</t>
  </si>
  <si>
    <t>Comment</t>
  </si>
  <si>
    <t>Bill of Material Rev. 0.0</t>
  </si>
  <si>
    <t>C64 Keyboard Connector PCB Rev. 0</t>
  </si>
  <si>
    <t>330R</t>
  </si>
  <si>
    <t>BL1-85AXX-20U</t>
  </si>
  <si>
    <t>224-2-01-00</t>
  </si>
  <si>
    <t>LED, green, 3mm</t>
  </si>
  <si>
    <t>Standard LED, 3mm, green</t>
  </si>
  <si>
    <t>Metal film resistor, 1/4W &amp; 10% or better</t>
  </si>
  <si>
    <t>1x20 pin socket connector, 90°, e.g. MPE Garry, Reichelt BL 1x20W8 2,54</t>
  </si>
  <si>
    <t>20 pin MicroMatch, femal, PCB-mount, e.g. MPE Garry, Reichelt  MPE 369-1-020 or TE Connectivity 2-215079-0</t>
  </si>
  <si>
    <t xml:space="preserve">45cm ribbon cable </t>
  </si>
  <si>
    <t>20 way, AWG28, 1.27mm</t>
  </si>
  <si>
    <t>IDC header Micro Match, 20-pin</t>
  </si>
  <si>
    <t>369-1-020 or 2-215079-0</t>
  </si>
  <si>
    <t>20-pin IDC socket with strain relief, 2.54mm</t>
  </si>
  <si>
    <t>e.g. Reichelt PFL 20</t>
  </si>
  <si>
    <t>2 layer, Cu 35µ, HASL, 53.0mm x 15.0mm, 1.6mm FR4</t>
  </si>
  <si>
    <t>€/each</t>
  </si>
  <si>
    <t>€</t>
  </si>
  <si>
    <t>Reichelt MPE 371-1-020 or TE Connectivity 9-215083-0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</si>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</sst>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164" fontId="3" fillId="0" borderId="0" xfId="0" applyNumberFormat="1" applyFont="1" applyAlignment="1">
      <alignment vertical="top" wrapText="1"/>
    </xf>
    <xf numFmtId="164" fontId="21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horizontal="left" vertical="top" wrapText="1"/>
    </xf>
    <xf numFmtId="164" fontId="21" fillId="0" borderId="0" xfId="0" applyNumberFormat="1" applyFont="1" applyAlignment="1">
      <alignment vertical="top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1" totalsRowShown="0" headerRowDxfId="7" dataDxfId="6">
  <autoFilter ref="A3:F11" xr:uid="{00000000-0009-0000-0100-000001000000}"/>
  <sortState xmlns:xlrd2="http://schemas.microsoft.com/office/spreadsheetml/2017/richdata2" ref="A4:F33">
    <sortCondition ref="E3:E33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€/each" dataDxfId="1"/>
    <tableColumn id="5" xr3:uid="{00000000-0010-0000-0000-000005000000}" name="€" dataDxfId="0">
      <calculatedColumnFormula>Tabelle1[[#This Row],[Qty]]*Tabelle1[[#This Row],[€/each]]</calculatedColumnFormula>
    </tableColumn>
    <tableColumn id="6" xr3:uid="{00000000-0010-0000-0000-000006000000}" name="Com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7"/>
  <sheetViews>
    <sheetView tabSelected="1" view="pageLayout" zoomScaleNormal="100" workbookViewId="0">
      <selection activeCell="E13" sqref="E13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1" t="s">
        <v>5</v>
      </c>
      <c r="B1" s="11"/>
      <c r="C1" s="11"/>
      <c r="D1" s="11"/>
      <c r="E1" s="11"/>
      <c r="F1" s="11"/>
    </row>
    <row r="2" spans="1:6" ht="20.399999999999999" x14ac:dyDescent="0.35">
      <c r="A2" s="12" t="s">
        <v>4</v>
      </c>
      <c r="B2" s="12"/>
      <c r="C2" s="12"/>
      <c r="D2" s="12"/>
      <c r="E2" s="12"/>
      <c r="F2" s="12"/>
    </row>
    <row r="3" spans="1:6" s="6" customFormat="1" x14ac:dyDescent="0.3">
      <c r="A3" s="3" t="s">
        <v>0</v>
      </c>
      <c r="B3" s="8" t="s">
        <v>1</v>
      </c>
      <c r="C3" s="9" t="s">
        <v>2</v>
      </c>
      <c r="D3" s="13" t="s">
        <v>21</v>
      </c>
      <c r="E3" s="14" t="s">
        <v>22</v>
      </c>
      <c r="F3" s="9" t="s">
        <v>3</v>
      </c>
    </row>
    <row r="4" spans="1:6" s="6" customFormat="1" x14ac:dyDescent="0.3">
      <c r="A4" s="3">
        <v>1</v>
      </c>
      <c r="B4" s="3">
        <v>1</v>
      </c>
      <c r="C4" s="10" t="s">
        <v>8</v>
      </c>
      <c r="D4" s="15">
        <v>1</v>
      </c>
      <c r="E4" s="16">
        <f>Tabelle1[[#This Row],[Qty]]*Tabelle1[[#This Row],[€/each]]</f>
        <v>1</v>
      </c>
      <c r="F4" s="10" t="s">
        <v>20</v>
      </c>
    </row>
    <row r="5" spans="1:6" s="6" customFormat="1" x14ac:dyDescent="0.3">
      <c r="A5" s="3"/>
      <c r="B5" s="3">
        <v>1</v>
      </c>
      <c r="C5" s="10" t="s">
        <v>9</v>
      </c>
      <c r="D5" s="15">
        <v>0.06</v>
      </c>
      <c r="E5" s="16">
        <f>Tabelle1[[#This Row],[Qty]]*Tabelle1[[#This Row],[€/each]]</f>
        <v>0.06</v>
      </c>
      <c r="F5" s="10" t="s">
        <v>10</v>
      </c>
    </row>
    <row r="6" spans="1:6" s="6" customFormat="1" x14ac:dyDescent="0.3">
      <c r="A6" s="3"/>
      <c r="B6" s="3">
        <v>1</v>
      </c>
      <c r="C6" s="10" t="s">
        <v>6</v>
      </c>
      <c r="D6" s="15">
        <v>0.1</v>
      </c>
      <c r="E6" s="16">
        <f>Tabelle1[[#This Row],[Qty]]*Tabelle1[[#This Row],[€/each]]</f>
        <v>0.1</v>
      </c>
      <c r="F6" s="10" t="s">
        <v>11</v>
      </c>
    </row>
    <row r="7" spans="1:6" s="6" customFormat="1" ht="27.6" x14ac:dyDescent="0.3">
      <c r="A7" s="3"/>
      <c r="B7" s="3">
        <v>1</v>
      </c>
      <c r="C7" s="10" t="s">
        <v>7</v>
      </c>
      <c r="D7" s="15">
        <v>0.44</v>
      </c>
      <c r="E7" s="16">
        <f>Tabelle1[[#This Row],[Qty]]*Tabelle1[[#This Row],[€/each]]</f>
        <v>0.44</v>
      </c>
      <c r="F7" s="14" t="s">
        <v>12</v>
      </c>
    </row>
    <row r="8" spans="1:6" s="6" customFormat="1" ht="27.6" x14ac:dyDescent="0.3">
      <c r="A8" s="3"/>
      <c r="B8" s="3">
        <v>1</v>
      </c>
      <c r="C8" s="10" t="s">
        <v>17</v>
      </c>
      <c r="D8" s="15">
        <v>0.52</v>
      </c>
      <c r="E8" s="16">
        <f>Tabelle1[[#This Row],[Qty]]*Tabelle1[[#This Row],[€/each]]</f>
        <v>0.52</v>
      </c>
      <c r="F8" s="14" t="s">
        <v>13</v>
      </c>
    </row>
    <row r="9" spans="1:6" s="6" customFormat="1" x14ac:dyDescent="0.3">
      <c r="A9" s="3"/>
      <c r="B9" s="10">
        <v>1</v>
      </c>
      <c r="C9" s="10" t="s">
        <v>14</v>
      </c>
      <c r="D9" s="17">
        <v>0.52</v>
      </c>
      <c r="E9" s="18">
        <f>Tabelle1[[#This Row],[Qty]]*Tabelle1[[#This Row],[€/each]]</f>
        <v>0.52</v>
      </c>
      <c r="F9" s="10" t="s">
        <v>15</v>
      </c>
    </row>
    <row r="10" spans="1:6" s="6" customFormat="1" ht="27.6" x14ac:dyDescent="0.3">
      <c r="A10" s="3"/>
      <c r="B10" s="3">
        <v>1</v>
      </c>
      <c r="C10" s="10" t="s">
        <v>16</v>
      </c>
      <c r="D10" s="17">
        <v>0.78</v>
      </c>
      <c r="E10" s="18">
        <f>Tabelle1[[#This Row],[Qty]]*Tabelle1[[#This Row],[€/each]]</f>
        <v>0.78</v>
      </c>
      <c r="F10" s="14" t="s">
        <v>23</v>
      </c>
    </row>
    <row r="11" spans="1:6" s="6" customFormat="1" ht="27.6" x14ac:dyDescent="0.3">
      <c r="A11" s="3"/>
      <c r="B11" s="3">
        <v>1</v>
      </c>
      <c r="C11" s="10" t="s">
        <v>18</v>
      </c>
      <c r="D11" s="17">
        <v>0.18</v>
      </c>
      <c r="E11" s="18">
        <f>Tabelle1[[#This Row],[Qty]]*Tabelle1[[#This Row],[€/each]]</f>
        <v>0.18</v>
      </c>
      <c r="F11" s="14" t="s">
        <v>19</v>
      </c>
    </row>
    <row r="12" spans="1:6" s="6" customFormat="1" x14ac:dyDescent="0.3">
      <c r="A12" s="3"/>
      <c r="B12" s="3"/>
      <c r="C12" s="3"/>
      <c r="D12" s="4"/>
      <c r="E12" s="3"/>
      <c r="F12" s="3"/>
    </row>
    <row r="13" spans="1:6" s="6" customFormat="1" x14ac:dyDescent="0.3">
      <c r="A13" s="3"/>
      <c r="B13" s="3"/>
      <c r="C13" s="3"/>
      <c r="D13" s="19" t="s">
        <v>24</v>
      </c>
      <c r="E13" s="20">
        <f>SUM(Tabelle1[€])</f>
        <v>3.6</v>
      </c>
      <c r="F13" s="3"/>
    </row>
    <row r="14" spans="1:6" s="6" customFormat="1" x14ac:dyDescent="0.3">
      <c r="A14" s="3"/>
      <c r="B14" s="3"/>
      <c r="C14" s="3"/>
      <c r="D14" s="4"/>
      <c r="E14" s="3"/>
      <c r="F14" s="3"/>
    </row>
    <row r="15" spans="1:6" s="6" customFormat="1" x14ac:dyDescent="0.3">
      <c r="A15" s="3"/>
      <c r="B15" s="3"/>
      <c r="C15" s="3"/>
      <c r="D15" s="4"/>
      <c r="E15" s="3"/>
      <c r="F15" s="3"/>
    </row>
    <row r="16" spans="1:6" s="6" customFormat="1" x14ac:dyDescent="0.3">
      <c r="A16" s="3"/>
      <c r="B16" s="3"/>
      <c r="C16" s="3"/>
      <c r="D16" s="4"/>
      <c r="E16" s="3"/>
      <c r="F16" s="3"/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1:6" s="6" customFormat="1" x14ac:dyDescent="0.3">
      <c r="A33" s="3"/>
      <c r="B33" s="3"/>
      <c r="C33" s="3"/>
      <c r="D33" s="4"/>
      <c r="E33" s="3"/>
      <c r="F33" s="3"/>
    </row>
    <row r="34" spans="1:6" s="6" customFormat="1" x14ac:dyDescent="0.3">
      <c r="D34" s="7"/>
    </row>
    <row r="35" spans="1:6" s="6" customFormat="1" x14ac:dyDescent="0.3">
      <c r="D35" s="7"/>
    </row>
    <row r="36" spans="1:6" s="6" customFormat="1" x14ac:dyDescent="0.3">
      <c r="D36" s="7"/>
    </row>
    <row r="37" spans="1:6" s="6" customFormat="1" x14ac:dyDescent="0.3">
      <c r="D37" s="7"/>
    </row>
    <row r="38" spans="1:6" s="6" customFormat="1" x14ac:dyDescent="0.3">
      <c r="D38" s="7"/>
    </row>
    <row r="39" spans="1:6" s="6" customFormat="1" x14ac:dyDescent="0.3">
      <c r="D39" s="7"/>
    </row>
    <row r="40" spans="1:6" s="6" customFormat="1" x14ac:dyDescent="0.3">
      <c r="D40" s="7"/>
    </row>
    <row r="41" spans="1:6" s="6" customFormat="1" x14ac:dyDescent="0.3">
      <c r="D41" s="7"/>
    </row>
    <row r="42" spans="1:6" s="6" customFormat="1" x14ac:dyDescent="0.3">
      <c r="D42" s="7"/>
    </row>
    <row r="43" spans="1:6" s="6" customFormat="1" x14ac:dyDescent="0.3">
      <c r="D43" s="7"/>
    </row>
    <row r="44" spans="1:6" s="6" customFormat="1" x14ac:dyDescent="0.3">
      <c r="D44" s="7"/>
    </row>
    <row r="45" spans="1:6" s="6" customFormat="1" x14ac:dyDescent="0.3">
      <c r="D45" s="7"/>
    </row>
    <row r="46" spans="1:6" s="6" customFormat="1" x14ac:dyDescent="0.3">
      <c r="D46" s="7"/>
    </row>
    <row r="47" spans="1:6" s="6" customFormat="1" x14ac:dyDescent="0.3">
      <c r="D47" s="7"/>
    </row>
    <row r="48" spans="1:6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s="6" customFormat="1" x14ac:dyDescent="0.3">
      <c r="D123" s="7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  <row r="147" spans="3:6" x14ac:dyDescent="0.3">
      <c r="C147" s="2"/>
      <c r="D147" s="5"/>
      <c r="F147" s="2"/>
    </row>
  </sheetData>
  <mergeCells count="2">
    <mergeCell ref="A1:F1"/>
    <mergeCell ref="A2:F2"/>
  </mergeCells>
  <pageMargins left="0.70866141732283472" right="0.79166666666666663" top="0.78740157480314965" bottom="0.78740157480314965" header="0.31496062992125984" footer="0.31496062992125984"/>
  <pageSetup paperSize="9" orientation="landscape" r:id="rId1"/>
  <headerFooter>
    <oddFooter>&amp;L&amp;"Futura Lt BT,Light"&amp;F
Drafted by Sven Petersen&amp;C&amp;"Futura Lt BT,Light"Page &amp;P of &amp;N&amp;R&amp;"Futura Lt BT,Light"&amp;D &amp;T
Doc.No.: xxx-5-01-00.0</oddFooter>
  </headerFooter>
  <ignoredErrors>
    <ignoredError sqref="A4" calculatedColumn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2026-10-19T11:52:30Z</dcterms:modified>
</cp:coreProperties>
</file>